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75796e49d34f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لوحة المتابعة" sheetId="1" r:id="R3afd3f394b1942c5"/>
    <x:sheet xmlns:r="http://schemas.openxmlformats.org/officeDocument/2006/relationships" name="الطلبات" sheetId="2" r:id="R8a72e21494964f42"/>
    <x:sheet xmlns:r="http://schemas.openxmlformats.org/officeDocument/2006/relationships" name="المخزون" sheetId="3" r:id="R1898c221994d4c7e"/>
    <x:sheet xmlns:r="http://schemas.openxmlformats.org/officeDocument/2006/relationships" name="الفيدباك" sheetId="4" r:id="Rf1e97e0b1ccc4dd4"/>
    <x:sheet xmlns:r="http://schemas.openxmlformats.org/officeDocument/2006/relationships" name="القوائم والإعدادات" sheetId="5" r:id="R3809cd02e8c94e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 &quot;ج.م&quot;"/>
    <x:numFmt numFmtId="201" formatCode="#,##0"/>
    <x:numFmt numFmtId="202" formatCode="#,##0.0 &quot;ج.م&quot;"/>
    <x:numFmt numFmtId="203" formatCode="dd-mmm-yyyy hh:mm"/>
    <x:numFmt numFmtId="204" formatCode="dd-mmm-yyyy"/>
    <x:numFmt numFmtId="205" formatCode="@"/>
    <x:numFmt numFmtId="206" formatCode="0"/>
    <x:numFmt numFmtId="207" formatCode="0.0"/>
    <x:numFmt numFmtId="208" formatCode="0%"/>
  </x:numFmts>
  <x:fonts count="15">
    <x:font>
      <x:sz val="11"/>
      <x:name val="Carlito"/>
    </x:font>
    <x:font>
      <x:b/>
      <x:sz val="16"/>
      <x:color rgb="FF2F5D50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sz val="9"/>
      <x:color rgb="FF1F2937"/>
      <x:name val="Arial"/>
    </x:font>
    <x:font>
      <x:b/>
      <x:sz val="11"/>
      <x:color rgb="FF2F5D50"/>
      <x:name val="Arial"/>
    </x:font>
    <x:font>
      <x:sz val="11"/>
      <x:name val="Arial"/>
    </x:font>
    <x:font>
      <x:b/>
      <x:sz val="10"/>
      <x:color rgb="FF8A4B08"/>
      <x:name val="Arial"/>
    </x:font>
    <x:font>
      <x:i/>
      <x:sz val="9"/>
      <x:color rgb="FF4B5563"/>
      <x:name val="Arial"/>
    </x:font>
    <x:font>
      <x:b/>
      <x:sz val="9"/>
      <x:color rgb="FF1F2937"/>
      <x:name val="Arial"/>
    </x:font>
    <x:font>
      <x:b/>
      <x:sz val="9"/>
      <x:color rgb="FF9B1C1C"/>
      <x:name val="Arial"/>
    </x:font>
    <x:font>
      <x:b/>
      <x:sz val="15"/>
      <x:color rgb="FF9B1C1C"/>
      <x:name val="Arial"/>
    </x:font>
    <x:font>
      <x:b/>
      <x:sz val="9"/>
      <x:color rgb="FF8A4B08"/>
      <x:name val="Arial"/>
    </x:font>
    <x:font>
      <x:b/>
      <x:sz val="15"/>
      <x:color rgb="FF8A4B08"/>
      <x:name val="Arial"/>
    </x:font>
    <x:font>
      <x:sz val="10"/>
      <x:color rgb="FF1E4E8C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E8F1ED"/>
      </x:patternFill>
    </x:fill>
    <x:fill>
      <x:patternFill patternType="solid">
        <x:fgColor rgb="FFFFFFFF"/>
      </x:patternFill>
    </x:fill>
    <x:fill>
      <x:patternFill patternType="solid">
        <x:fgColor rgb="FFE5E7EB"/>
      </x:patternFill>
    </x:fill>
    <x:fill>
      <x:patternFill patternType="solid">
        <x:fgColor rgb="FFFFF8DC"/>
      </x:patternFill>
    </x:fill>
    <x:fill>
      <x:patternFill patternType="solid">
        <x:fgColor rgb="FFEAF3FF"/>
      </x:patternFill>
    </x:fill>
    <x:fill>
      <x:patternFill patternType="solid">
        <x:fgColor rgb="FFFFF1CC"/>
      </x:patternFill>
    </x:fill>
    <x:fill>
      <x:patternFill patternType="solid">
        <x:fgColor rgb="FFF7F7F7"/>
      </x:patternFill>
    </x:fill>
    <x:fill>
      <x:patternFill patternType="solid">
        <x:fgColor rgb="FFFDE8E8"/>
      </x:patternFill>
    </x:fill>
  </x:fills>
  <x:borders count="10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1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right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5" borderId="1" xfId="0" applyNumberFormat="1" applyFont="1" applyFill="1" applyBorder="1"/>
    <x:xf numFmtId="200" fontId="2" fillId="5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right" wrapText="1"/>
    </x:xf>
    <x:xf numFmtId="0" fontId="2" fillId="0" borderId="0" xfId="0" applyNumberFormat="1" applyFont="1" applyFill="1" applyBorder="1" applyAlignment="1">
      <x:alignment horizontal="right" vertical="center" wrapText="1"/>
    </x:xf>
    <x:xf numFmtId="0" fontId="6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5" borderId="1" xfId="0" applyNumberFormat="1" applyFont="1" applyFill="1" applyBorder="1" applyAlignment="1">
      <x:alignment vertical="center"/>
    </x:xf>
    <x:xf numFmtId="0" fontId="2" fillId="6" borderId="1" xfId="0" applyNumberFormat="1" applyFont="1" applyFill="1" applyBorder="1" applyAlignment="1">
      <x:alignment vertical="center"/>
    </x:xf>
    <x:xf numFmtId="201" fontId="2" fillId="5" borderId="1" xfId="0" applyNumberFormat="1" applyFont="1" applyFill="1" applyBorder="1" applyAlignment="1">
      <x:alignment vertical="center"/>
    </x:xf>
    <x:xf numFmtId="201" fontId="2" fillId="6" borderId="1" xfId="0" applyNumberFormat="1" applyFont="1" applyFill="1" applyBorder="1" applyAlignment="1">
      <x:alignment vertical="center"/>
    </x:xf>
    <x:xf numFmtId="202" fontId="2" fillId="5" borderId="1" xfId="0" applyNumberFormat="1" applyFont="1" applyFill="1" applyBorder="1" applyAlignment="1">
      <x:alignment vertical="center"/>
    </x:xf>
    <x:xf numFmtId="202" fontId="2" fillId="6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right"/>
    </x:xf>
    <x:xf numFmtId="0" fontId="7" fillId="7" borderId="0" xfId="0" applyNumberFormat="1" applyFont="1" applyFill="1" applyBorder="1" applyAlignment="1">
      <x:alignment horizontal="right"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8" fillId="8" borderId="1" xfId="0" applyNumberFormat="1" applyFont="1" applyFill="1" applyBorder="1" applyAlignment="1">
      <x:alignment vertical="center" wrapText="1"/>
    </x:xf>
    <x:xf numFmtId="203" fontId="8" fillId="8" borderId="1" xfId="0" applyNumberFormat="1" applyFont="1" applyFill="1" applyBorder="1" applyAlignment="1">
      <x:alignment vertical="center" wrapText="1"/>
    </x:xf>
    <x:xf numFmtId="203" fontId="4" fillId="5" borderId="1" xfId="0" applyNumberFormat="1" applyFont="1" applyFill="1" applyBorder="1" applyAlignment="1">
      <x:alignment vertical="center" wrapText="1"/>
    </x:xf>
    <x:xf numFmtId="204" fontId="8" fillId="8" borderId="1" xfId="0" applyNumberFormat="1" applyFont="1" applyFill="1" applyBorder="1" applyAlignment="1">
      <x:alignment vertical="center" wrapText="1"/>
    </x:xf>
    <x:xf numFmtId="204" fontId="4" fillId="5" borderId="1" xfId="0" applyNumberFormat="1" applyFont="1" applyFill="1" applyBorder="1" applyAlignment="1">
      <x:alignment vertical="center" wrapText="1"/>
    </x:xf>
    <x:xf numFmtId="205" fontId="8" fillId="8" borderId="1" xfId="0" applyNumberFormat="1" applyFont="1" applyFill="1" applyBorder="1" applyAlignment="1">
      <x:alignment vertical="center" wrapText="1"/>
    </x:xf>
    <x:xf numFmtId="205" fontId="4" fillId="5" borderId="1" xfId="0" applyNumberFormat="1" applyFont="1" applyFill="1" applyBorder="1" applyAlignment="1">
      <x:alignment vertical="center" wrapText="1"/>
    </x:xf>
    <x:xf numFmtId="206" fontId="8" fillId="8" borderId="1" xfId="0" applyNumberFormat="1" applyFont="1" applyFill="1" applyBorder="1" applyAlignment="1">
      <x:alignment vertical="center" wrapText="1"/>
    </x:xf>
    <x:xf numFmtId="206" fontId="4" fillId="5" borderId="1" xfId="0" applyNumberFormat="1" applyFont="1" applyFill="1" applyBorder="1" applyAlignment="1">
      <x:alignment vertical="center" wrapText="1"/>
    </x:xf>
    <x:xf numFmtId="206" fontId="4" fillId="6" borderId="1" xfId="0" applyNumberFormat="1" applyFont="1" applyFill="1" applyBorder="1" applyAlignment="1">
      <x:alignment vertical="center" wrapText="1"/>
    </x:xf>
    <x:xf numFmtId="202" fontId="8" fillId="8" borderId="1" xfId="0" applyNumberFormat="1" applyFont="1" applyFill="1" applyBorder="1" applyAlignment="1">
      <x:alignment vertical="center" wrapText="1"/>
    </x:xf>
    <x:xf numFmtId="202" fontId="4" fillId="6" borderId="1" xfId="0" applyNumberFormat="1" applyFont="1" applyFill="1" applyBorder="1" applyAlignment="1">
      <x:alignment vertical="center" wrapText="1"/>
    </x:xf>
    <x:xf numFmtId="202" fontId="4" fillId="5" borderId="1" xfId="0" applyNumberFormat="1" applyFont="1" applyFill="1" applyBorder="1" applyAlignment="1">
      <x:alignment vertical="center" wrapText="1"/>
    </x:xf>
    <x:xf numFmtId="207" fontId="8" fillId="8" borderId="1" xfId="0" applyNumberFormat="1" applyFont="1" applyFill="1" applyBorder="1" applyAlignment="1">
      <x:alignment vertical="center" wrapText="1"/>
    </x:xf>
    <x:xf numFmtId="207" fontId="4" fillId="6" borderId="1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9" fillId="4" borderId="2" xfId="0" applyNumberFormat="1" applyFont="1" applyFill="1" applyBorder="1"/>
    <x:xf numFmtId="0" fontId="9" fillId="4" borderId="3" xfId="0" applyNumberFormat="1" applyFont="1" applyFill="1" applyBorder="1"/>
    <x:xf numFmtId="0" fontId="9" fillId="4" borderId="2" xfId="0" applyNumberFormat="1" applyFont="1" applyFill="1" applyBorder="1" applyAlignment="1">
      <x:alignment horizontal="center"/>
    </x:xf>
    <x:xf numFmtId="0" fontId="9" fillId="4" borderId="3" xfId="0" applyNumberFormat="1" applyFont="1" applyFill="1" applyBorder="1" applyAlignment="1">
      <x:alignment horizontal="center"/>
    </x:xf>
    <x:xf numFmtId="0" fontId="9" fillId="4" borderId="2" xfId="0" applyNumberFormat="1" applyFont="1" applyFill="1" applyBorder="1" applyAlignment="1">
      <x:alignment horizontal="center" vertical="center"/>
    </x:xf>
    <x:xf numFmtId="0" fontId="9" fillId="4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horizontal="center"/>
    </x:xf>
    <x:xf numFmtId="0" fontId="1" fillId="3" borderId="3" xfId="0" applyNumberFormat="1" applyFont="1" applyFill="1" applyBorder="1" applyAlignment="1">
      <x:alignment horizontal="center"/>
    </x:xf>
    <x:xf numFmtId="0" fontId="1" fillId="3" borderId="2" xfId="0" applyNumberFormat="1" applyFont="1" applyFill="1" applyBorder="1" applyAlignment="1">
      <x:alignment horizontal="center" vertical="center"/>
    </x:xf>
    <x:xf numFmtId="0" fontId="1" fillId="3" borderId="3" xfId="0" applyNumberFormat="1" applyFont="1" applyFill="1" applyBorder="1" applyAlignment="1">
      <x:alignment horizontal="center" vertical="center"/>
    </x:xf>
    <x:xf numFmtId="202" fontId="1" fillId="3" borderId="2" xfId="0" applyNumberFormat="1" applyFont="1" applyFill="1" applyBorder="1" applyAlignment="1">
      <x:alignment horizontal="center" vertical="center"/>
    </x:xf>
    <x:xf numFmtId="202" fontId="1" fillId="3" borderId="3" xfId="0" applyNumberFormat="1" applyFont="1" applyFill="1" applyBorder="1" applyAlignment="1">
      <x:alignment horizontal="center" vertical="center"/>
    </x:xf>
    <x:xf numFmtId="207" fontId="1" fillId="3" borderId="2" xfId="0" applyNumberFormat="1" applyFont="1" applyFill="1" applyBorder="1" applyAlignment="1">
      <x:alignment horizontal="center" vertical="center"/>
    </x:xf>
    <x:xf numFmtId="208" fontId="1" fillId="3" borderId="2" xfId="0" applyNumberFormat="1" applyFont="1" applyFill="1" applyBorder="1" applyAlignment="1">
      <x:alignment horizontal="center" vertical="center"/>
    </x:xf>
    <x:xf numFmtId="204" fontId="1" fillId="3" borderId="2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2" xfId="0" applyNumberFormat="1" applyFont="1" applyFill="1" applyBorder="1"/>
    <x:xf numFmtId="0" fontId="10" fillId="9" borderId="3" xfId="0" applyNumberFormat="1" applyFont="1" applyFill="1" applyBorder="1"/>
    <x:xf numFmtId="0" fontId="10" fillId="9" borderId="2" xfId="0" applyNumberFormat="1" applyFont="1" applyFill="1" applyBorder="1" applyAlignment="1">
      <x:alignment horizontal="center"/>
    </x:xf>
    <x:xf numFmtId="0" fontId="10" fillId="9" borderId="3" xfId="0" applyNumberFormat="1" applyFont="1" applyFill="1" applyBorder="1" applyAlignment="1">
      <x:alignment horizontal="center"/>
    </x:xf>
    <x:xf numFmtId="0" fontId="11" fillId="3" borderId="0" xfId="0" applyNumberFormat="1" applyFont="1" applyFill="1" applyBorder="1"/>
    <x:xf numFmtId="0" fontId="11" fillId="3" borderId="2" xfId="0" applyNumberFormat="1" applyFont="1" applyFill="1" applyBorder="1"/>
    <x:xf numFmtId="0" fontId="11" fillId="3" borderId="3" xfId="0" applyNumberFormat="1" applyFont="1" applyFill="1" applyBorder="1"/>
    <x:xf numFmtId="0" fontId="11" fillId="3" borderId="2" xfId="0" applyNumberFormat="1" applyFont="1" applyFill="1" applyBorder="1" applyAlignment="1">
      <x:alignment horizontal="center"/>
    </x:xf>
    <x:xf numFmtId="0" fontId="11" fillId="3" borderId="3" xfId="0" applyNumberFormat="1" applyFont="1" applyFill="1" applyBorder="1" applyAlignment="1">
      <x:alignment horizontal="center"/>
    </x:xf>
    <x:xf numFmtId="0" fontId="12" fillId="7" borderId="0" xfId="0" applyNumberFormat="1" applyFont="1" applyFill="1" applyBorder="1"/>
    <x:xf numFmtId="0" fontId="12" fillId="7" borderId="2" xfId="0" applyNumberFormat="1" applyFont="1" applyFill="1" applyBorder="1"/>
    <x:xf numFmtId="0" fontId="12" fillId="7" borderId="3" xfId="0" applyNumberFormat="1" applyFont="1" applyFill="1" applyBorder="1"/>
    <x:xf numFmtId="0" fontId="12" fillId="7" borderId="2" xfId="0" applyNumberFormat="1" applyFont="1" applyFill="1" applyBorder="1" applyAlignment="1">
      <x:alignment horizontal="center"/>
    </x:xf>
    <x:xf numFmtId="0" fontId="12" fillId="7" borderId="3" xfId="0" applyNumberFormat="1" applyFont="1" applyFill="1" applyBorder="1" applyAlignment="1">
      <x:alignment horizontal="center"/>
    </x:xf>
    <x:xf numFmtId="0" fontId="13" fillId="3" borderId="0" xfId="0" applyNumberFormat="1" applyFont="1" applyFill="1" applyBorder="1"/>
    <x:xf numFmtId="0" fontId="13" fillId="3" borderId="2" xfId="0" applyNumberFormat="1" applyFont="1" applyFill="1" applyBorder="1"/>
    <x:xf numFmtId="0" fontId="13" fillId="3" borderId="3" xfId="0" applyNumberFormat="1" applyFont="1" applyFill="1" applyBorder="1"/>
    <x:xf numFmtId="0" fontId="13" fillId="3" borderId="2" xfId="0" applyNumberFormat="1" applyFont="1" applyFill="1" applyBorder="1" applyAlignment="1">
      <x:alignment horizontal="center"/>
    </x:xf>
    <x:xf numFmtId="0" fontId="13" fillId="3" borderId="3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14" fillId="3" borderId="0" xfId="0" applyNumberFormat="1" applyFont="1" applyFill="1" applyBorder="1"/>
    <x:xf numFmtId="0" fontId="14" fillId="3" borderId="4" xfId="0" applyNumberFormat="1" applyFont="1" applyFill="1" applyBorder="1"/>
    <x:xf numFmtId="0" fontId="14" fillId="3" borderId="5" xfId="0" applyNumberFormat="1" applyFont="1" applyFill="1" applyBorder="1"/>
    <x:xf numFmtId="0" fontId="14" fillId="3" borderId="6" xfId="0" applyNumberFormat="1" applyFont="1" applyFill="1" applyBorder="1"/>
    <x:xf numFmtId="0" fontId="14" fillId="3" borderId="7" xfId="0" applyNumberFormat="1" applyFont="1" applyFill="1" applyBorder="1"/>
    <x:xf numFmtId="0" fontId="14" fillId="3" borderId="8" xfId="0" applyNumberFormat="1" applyFont="1" applyFill="1" applyBorder="1"/>
    <x:xf numFmtId="0" fontId="14" fillId="3" borderId="9" xfId="0" applyNumberFormat="1" applyFont="1" applyFill="1" applyBorder="1"/>
    <x:xf numFmtId="0" fontId="14" fillId="3" borderId="4" xfId="0" applyNumberFormat="1" applyFont="1" applyFill="1" applyBorder="1" applyAlignment="1">
      <x:alignment wrapText="1"/>
    </x:xf>
    <x:xf numFmtId="0" fontId="14" fillId="3" borderId="5" xfId="0" applyNumberFormat="1" applyFont="1" applyFill="1" applyBorder="1" applyAlignment="1">
      <x:alignment wrapText="1"/>
    </x:xf>
    <x:xf numFmtId="0" fontId="14" fillId="3" borderId="6" xfId="0" applyNumberFormat="1" applyFont="1" applyFill="1" applyBorder="1" applyAlignment="1">
      <x:alignment wrapText="1"/>
    </x:xf>
    <x:xf numFmtId="0" fontId="14" fillId="3" borderId="7" xfId="0" applyNumberFormat="1" applyFont="1" applyFill="1" applyBorder="1" applyAlignment="1">
      <x:alignment wrapText="1"/>
    </x:xf>
    <x:xf numFmtId="0" fontId="14" fillId="3" borderId="8" xfId="0" applyNumberFormat="1" applyFont="1" applyFill="1" applyBorder="1" applyAlignment="1">
      <x:alignment wrapText="1"/>
    </x:xf>
    <x:xf numFmtId="0" fontId="14" fillId="3" borderId="9" xfId="0" applyNumberFormat="1" applyFont="1" applyFill="1" applyBorder="1" applyAlignment="1">
      <x:alignment wrapText="1"/>
    </x:xf>
    <x:xf numFmtId="0" fontId="14" fillId="3" borderId="4" xfId="0" applyNumberFormat="1" applyFont="1" applyFill="1" applyBorder="1" applyAlignment="1">
      <x:alignment horizontal="center" wrapText="1"/>
    </x:xf>
    <x:xf numFmtId="0" fontId="14" fillId="3" borderId="5" xfId="0" applyNumberFormat="1" applyFont="1" applyFill="1" applyBorder="1" applyAlignment="1">
      <x:alignment horizontal="center" wrapText="1"/>
    </x:xf>
    <x:xf numFmtId="0" fontId="14" fillId="3" borderId="6" xfId="0" applyNumberFormat="1" applyFont="1" applyFill="1" applyBorder="1" applyAlignment="1">
      <x:alignment horizontal="center" wrapText="1"/>
    </x:xf>
    <x:xf numFmtId="0" fontId="14" fillId="3" borderId="7" xfId="0" applyNumberFormat="1" applyFont="1" applyFill="1" applyBorder="1" applyAlignment="1">
      <x:alignment horizontal="center" wrapText="1"/>
    </x:xf>
    <x:xf numFmtId="0" fontId="14" fillId="3" borderId="8" xfId="0" applyNumberFormat="1" applyFont="1" applyFill="1" applyBorder="1" applyAlignment="1">
      <x:alignment horizontal="center" wrapText="1"/>
    </x:xf>
    <x:xf numFmtId="0" fontId="14" fillId="3" borderId="9" xfId="0" applyNumberFormat="1" applyFont="1" applyFill="1" applyBorder="1" applyAlignment="1">
      <x:alignment horizontal="center" wrapText="1"/>
    </x:xf>
    <x:xf numFmtId="0" fontId="14" fillId="3" borderId="4" xfId="0" applyNumberFormat="1" applyFont="1" applyFill="1" applyBorder="1" applyAlignment="1">
      <x:alignment horizontal="center" vertical="center" wrapText="1"/>
    </x:xf>
    <x:xf numFmtId="0" fontId="14" fillId="3" borderId="5" xfId="0" applyNumberFormat="1" applyFont="1" applyFill="1" applyBorder="1" applyAlignment="1">
      <x:alignment horizontal="center" vertical="center" wrapText="1"/>
    </x:xf>
    <x:xf numFmtId="0" fontId="14" fillId="3" borderId="6" xfId="0" applyNumberFormat="1" applyFont="1" applyFill="1" applyBorder="1" applyAlignment="1">
      <x:alignment horizontal="center" vertical="center" wrapText="1"/>
    </x:xf>
    <x:xf numFmtId="0" fontId="14" fillId="3" borderId="7" xfId="0" applyNumberFormat="1" applyFont="1" applyFill="1" applyBorder="1" applyAlignment="1">
      <x:alignment horizontal="center" vertical="center" wrapText="1"/>
    </x:xf>
    <x:xf numFmtId="0" fontId="14" fillId="3" borderId="8" xfId="0" applyNumberFormat="1" applyFont="1" applyFill="1" applyBorder="1" applyAlignment="1">
      <x:alignment horizontal="center" vertical="center" wrapText="1"/>
    </x:xf>
    <x:xf numFmtId="0" fontId="14" fillId="3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0"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2F5D50"/>
      </x:font>
      <x:fill>
        <x:patternFill patternType="solid">
          <x:bgColor rgb="FFE8F1ED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1CC"/>
        </x:patternFill>
      </x:fill>
    </x:dxf>
    <x:dxf>
      <x:font>
        <x:b/>
        <x:color rgb="FF2F5D50"/>
      </x:font>
      <x:fill>
        <x:patternFill patternType="solid">
          <x:bgColor rgb="FFE8F1ED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1CC"/>
        </x:patternFill>
      </x:fill>
    </x:dxf>
    <x:dxf>
      <x:font>
        <x:b/>
        <x:color rgb="FF1E4E8C"/>
      </x:font>
      <x:fill>
        <x:patternFill patternType="solid">
          <x:bgColor rgb="FFE8F1FF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72def128fc4478" /><Relationship Type="http://schemas.openxmlformats.org/officeDocument/2006/relationships/theme" Target="/xl/theme/theme1.xml" Id="Rf852f2cc730e480e" /><Relationship Type="http://schemas.openxmlformats.org/officeDocument/2006/relationships/sharedStrings" Target="/xl/sharedStrings.xml" Id="Rcec6c512728d480e" /><Relationship Type="http://schemas.openxmlformats.org/officeDocument/2006/relationships/worksheet" Target="/xl/worksheets/sheet1.xml" Id="R3afd3f394b1942c5" /><Relationship Type="http://schemas.openxmlformats.org/officeDocument/2006/relationships/worksheet" Target="/xl/worksheets/sheet2.xml" Id="R8a72e21494964f42" /><Relationship Type="http://schemas.openxmlformats.org/officeDocument/2006/relationships/worksheet" Target="/xl/worksheets/sheet3.xml" Id="R1898c221994d4c7e" /><Relationship Type="http://schemas.openxmlformats.org/officeDocument/2006/relationships/worksheet" Target="/xl/worksheets/sheet4.xml" Id="Rf1e97e0b1ccc4dd4" /><Relationship Type="http://schemas.openxmlformats.org/officeDocument/2006/relationships/worksheet" Target="/xl/worksheets/sheet5.xml" Id="R3809cd02e8c94e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d1e03fc140447f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الطلبات حسب الحالة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عدد الطلبات</c:v>
          </c:tx>
          <c:spPr>
            <a:solidFill xmlns:a="http://schemas.openxmlformats.org/drawingml/2006/main">
              <a:srgbClr val="2F5D50"/>
            </a:solidFill>
          </c:spPr>
          <c:cat>
            <c:strRef>
              <c:f>'لوحة المتابعة'!$A$23:$A$30</c:f>
              <c:strCache>
                <c:ptCount val="0"/>
              </c:strCache>
            </c:strRef>
          </c:cat>
          <c:val>
            <c:numRef>
              <c:f>'لوحة المتابعة'!$B$23:$B$30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21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1e03fc140447f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OrdersTable" displayName="OrdersTable" ref="A6:AJ206" headerRowCount="1" totalsRowCount="0" totalsRowShown="0">
  <x:autoFilter ref="A6:AJ206"/>
  <x:tableColumns count="36">
    <x:tableColumn id="1" name="رقم الطلب"/>
    <x:tableColumn id="2" name="تاريخ الطلب"/>
    <x:tableColumn id="3" name="مصدر الطلب"/>
    <x:tableColumn id="4" name="اسم العميل"/>
    <x:tableColumn id="5" name="رقم الموبايل"/>
    <x:tableColumn id="6" name="المنطقة"/>
    <x:tableColumn id="7" name="العنوان / لينك اللوكيشن"/>
    <x:tableColumn id="8" name="نوع الطلب"/>
    <x:tableColumn id="9" name="كمية عسل ولبن"/>
    <x:tableColumn id="10" name="كمية دبس تمر ولبن"/>
    <x:tableColumn id="11" name="إجمالي الوحدات"/>
    <x:tableColumn id="12" name="سعر الوحدة المطبق"/>
    <x:tableColumn id="13" name="إجمالي المنتجات"/>
    <x:tableColumn id="14" name="الخصم"/>
    <x:tableColumn id="15" name="مصاريف الشحن المحصلة"/>
    <x:tableColumn id="16" name="تكلفة الشحن الفعلية"/>
    <x:tableColumn id="17" name="إجمالي المطلوب"/>
    <x:tableColumn id="18" name="تكلفة المنتجات التقديرية"/>
    <x:tableColumn id="19" name="هامش المساهمة المقدر"/>
    <x:tableColumn id="20" name="طريقة الدفع"/>
    <x:tableColumn id="21" name="حالة الدفع"/>
    <x:tableColumn id="22" name="المبلغ المحصل"/>
    <x:tableColumn id="23" name="المتبقي"/>
    <x:tableColumn id="24" name="حالة الطلب"/>
    <x:tableColumn id="25" name="مسؤول الطلب / الكابتن"/>
    <x:tableColumn id="26" name="تاريخ التوصيل المتوقع"/>
    <x:tableColumn id="27" name="تاريخ التوصيل الفعلي"/>
    <x:tableColumn id="28" name="رقم الشحنة / التتبع"/>
    <x:tableColumn id="29" name="نتيجة التوصيل"/>
    <x:tableColumn id="30" name="موافقة الفيدباك"/>
    <x:tableColumn id="31" name="تاريخ طلب الفيدباك"/>
    <x:tableColumn id="32" name="حالة الفيدباك"/>
    <x:tableColumn id="33" name="التقييم العام"/>
    <x:tableColumn id="34" name="هل سيشتري مرة أخرى؟"/>
    <x:tableColumn id="35" name="ملاحظات"/>
    <x:tableColumn id="36" name="الإجراء التالي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1" name="InventoryTable" displayName="InventoryTable" ref="A5:M7" headerRowCount="1" totalsRowCount="0" totalsRowShown="0">
  <x:autoFilter ref="A5:M7"/>
  <x:tableColumns count="13">
    <x:tableColumn id="1" name="SKU"/>
    <x:tableColumn id="2" name="المنتج"/>
    <x:tableColumn id="3" name="رصيد أول المدة"/>
    <x:tableColumn id="4" name="إضافات المخزون"/>
    <x:tableColumn id="5" name="محجوز لطلبات نشطة"/>
    <x:tableColumn id="6" name="تم توصيله"/>
    <x:tableColumn id="7" name="المتاح للبيع"/>
    <x:tableColumn id="8" name="الجرد الفعلي"/>
    <x:tableColumn id="9" name="فرق الجرد"/>
    <x:tableColumn id="10" name="حد إعادة الطلب"/>
    <x:tableColumn id="11" name="حالة المخزون"/>
    <x:tableColumn id="12" name="تكلفة الوحدة التقديرية"/>
    <x:tableColumn id="13" name="قيمة المخزون المتاح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FeedbackTable" displayName="FeedbackTable" ref="A6:S206" headerRowCount="1" totalsRowCount="0" totalsRowShown="0">
  <x:autoFilter ref="A6:S206"/>
  <x:tableColumns count="19">
    <x:tableColumn id="1" name="رقم الفيدباك"/>
    <x:tableColumn id="2" name="تاريخ الرد"/>
    <x:tableColumn id="3" name="رقم الطلب"/>
    <x:tableColumn id="4" name="اسم العميل"/>
    <x:tableColumn id="5" name="المصدر"/>
    <x:tableColumn id="6" name="الموافقة مؤكدة؟"/>
    <x:tableColumn id="7" name="التقييم العام 1–5"/>
    <x:tableColumn id="8" name="الطعم 1–5"/>
    <x:tableColumn id="9" name="حجم الوجبة 1–5"/>
    <x:tableColumn id="10" name="سهولة التحضير 1–5"/>
    <x:tableColumn id="11" name="القيمة مقابل السعر 1–5"/>
    <x:tableColumn id="12" name="هل سيشتري مرة أخرى؟"/>
    <x:tableColumn id="13" name="احتمال الترشيح 0–10"/>
    <x:tableColumn id="14" name="النكهة المفضلة"/>
    <x:tableColumn id="15" name="التعليق"/>
    <x:tableColumn id="16" name="توجد مشكلة؟"/>
    <x:tableColumn id="17" name="مسؤول المتابعة"/>
    <x:tableColumn id="18" name="حالة المتابعة"/>
    <x:tableColumn id="19" name="ملاحظات الحل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7ee27abc27544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f1b85793c144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f0b086ed5b4f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674ab7914c49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4" t="str">
        <x:v>EasyOats | لوحة متابعة الطلبات والمخزون</x:v>
      </x:c>
      <x:c r="B1" s="4"/>
      <x:c r="C1" s="4"/>
      <x:c r="D1" s="4"/>
      <x:c r="E1" s="4"/>
      <x:c r="F1" s="4"/>
      <x:c r="G1" s="4"/>
      <x:c r="H1" s="4"/>
    </x:row>
    <x:row r="2" ht="34" customHeight="1">
      <x:c r="A2" s="9" t="str">
        <x:v>افتح هذه الصفحة يوميًا. الأرقام لا تشمل صف المثال، وتتحدث تلقائيًا من تبويبات الطلبات والمخزون والفيدباك.</x:v>
      </x:c>
      <x:c r="B2" s="9"/>
      <x:c r="C2" s="9"/>
      <x:c r="D2" s="9"/>
      <x:c r="E2" s="9"/>
      <x:c r="F2" s="9"/>
      <x:c r="G2" s="9"/>
      <x:c r="H2" s="9"/>
    </x:row>
    <x:row r="3">
      <x:c r="A3" s="28"/>
      <x:c r="B3" s="28"/>
      <x:c r="C3" s="28"/>
      <x:c r="D3" s="28"/>
      <x:c r="E3" s="28"/>
      <x:c r="F3" s="28"/>
      <x:c r="G3" s="28"/>
      <x:c r="H3" s="28"/>
    </x:row>
    <x:row r="4" ht="25" customHeight="1">
      <x:c r="A4" s="64" t="str">
        <x:v>إجمالي الطلبات</x:v>
      </x:c>
      <x:c r="B4" s="65"/>
      <x:c r="C4" s="64" t="str">
        <x:v>طلبات نشطة</x:v>
      </x:c>
      <x:c r="D4" s="65"/>
      <x:c r="E4" s="64" t="str">
        <x:v>تم التوصيل</x:v>
      </x:c>
      <x:c r="F4" s="65"/>
      <x:c r="G4" s="64" t="str">
        <x:v>ملغي</x:v>
      </x:c>
      <x:c r="H4" s="65"/>
    </x:row>
    <x:row r="5" ht="36" customHeight="1">
      <x:c r="A5" s="71" t="n">
        <x:f>COUNTIFS('الطلبات'!$A$7:$A$206,"&lt;&gt;",'الطلبات'!$A$7:$A$206,"&lt;&gt;مثال-احذفه")</x:f>
        <x:v>0</x:v>
      </x:c>
      <x:c r="B5" s="72"/>
      <x:c r="C5" s="71" t="n">
        <x:f>COUNTIFS('الطلبات'!$A$7:$A$206,"&lt;&gt;",'الطلبات'!$A$7:$A$206,"&lt;&gt;مثال-احذفه",'الطلبات'!$X$7:$X$206,"&lt;&gt;تم التوصيل",'الطلبات'!$X$7:$X$206,"&lt;&gt;ملغي",'الطلبات'!$X$7:$X$206,"&lt;&gt;مرتجع")</x:f>
        <x:v>0</x:v>
      </x:c>
      <x:c r="D5" s="72"/>
      <x:c r="E5" s="71" t="n">
        <x:f>COUNTIFS('الطلبات'!$A$7:$A$206,"&lt;&gt;مثال-احذفه",'الطلبات'!$X$7:$X$206,"تم التوصيل")</x:f>
        <x:v>0</x:v>
      </x:c>
      <x:c r="F5" s="72"/>
      <x:c r="G5" s="71" t="n">
        <x:f>COUNTIFS('الطلبات'!$A$7:$A$206,"&lt;&gt;مثال-احذفه",'الطلبات'!$X$7:$X$206,"ملغي")</x:f>
        <x:v>0</x:v>
      </x:c>
      <x:c r="H5" s="72"/>
    </x:row>
    <x:row r="6" ht="25" customHeight="1">
      <x:c r="A6" s="28"/>
      <x:c r="B6" s="28"/>
      <x:c r="C6" s="28"/>
      <x:c r="D6" s="28"/>
      <x:c r="E6" s="28"/>
      <x:c r="F6" s="28"/>
      <x:c r="G6" s="28"/>
      <x:c r="H6" s="28"/>
    </x:row>
    <x:row r="7" ht="25" customHeight="1">
      <x:c r="A7" s="64" t="str">
        <x:v>إجمالي الوحدات</x:v>
      </x:c>
      <x:c r="B7" s="65"/>
      <x:c r="C7" s="64" t="str">
        <x:v>قيمة الطلبات</x:v>
      </x:c>
      <x:c r="D7" s="65"/>
      <x:c r="E7" s="64" t="str">
        <x:v>المبلغ المحصل</x:v>
      </x:c>
      <x:c r="F7" s="65"/>
      <x:c r="G7" s="64" t="str">
        <x:v>متبقي للتحصيل</x:v>
      </x:c>
      <x:c r="H7" s="65"/>
    </x:row>
    <x:row r="8" ht="36" customHeight="1">
      <x:c r="A8" s="71" t="n">
        <x:f>SUMIFS('الطلبات'!$K$7:$K$206,'الطلبات'!$A$7:$A$206,"&lt;&gt;",'الطلبات'!$A$7:$A$206,"&lt;&gt;مثال-احذفه",'الطلبات'!$X$7:$X$206,"&lt;&gt;ملغي",'الطلبات'!$X$7:$X$206,"&lt;&gt;مرتجع")</x:f>
        <x:v>0</x:v>
      </x:c>
      <x:c r="B8" s="72"/>
      <x:c r="C8" s="73" t="n">
        <x:f>SUMIFS('الطلبات'!$Q$7:$Q$206,'الطلبات'!$A$7:$A$206,"&lt;&gt;",'الطلبات'!$A$7:$A$206,"&lt;&gt;مثال-احذفه",'الطلبات'!$X$7:$X$206,"&lt;&gt;ملغي",'الطلبات'!$X$7:$X$206,"&lt;&gt;مرتجع")</x:f>
        <x:v>0</x:v>
      </x:c>
      <x:c r="D8" s="74"/>
      <x:c r="E8" s="73" t="n">
        <x:f>SUMIFS('الطلبات'!$V$7:$V$206,'الطلبات'!$A$7:$A$206,"&lt;&gt;",'الطلبات'!$A$7:$A$206,"&lt;&gt;مثال-احذفه")</x:f>
        <x:v>0</x:v>
      </x:c>
      <x:c r="F8" s="72"/>
      <x:c r="G8" s="73" t="n">
        <x:f>SUMIFS('الطلبات'!$W$7:$W$206,'الطلبات'!$A$7:$A$206,"&lt;&gt;",'الطلبات'!$A$7:$A$206,"&lt;&gt;مثال-احذفه")</x:f>
        <x:v>0</x:v>
      </x:c>
      <x:c r="H8" s="72"/>
    </x:row>
    <x:row r="9" ht="25" customHeight="1">
      <x:c r="A9" s="28"/>
      <x:c r="B9" s="28"/>
      <x:c r="C9" s="28"/>
      <x:c r="D9" s="28"/>
      <x:c r="E9" s="28"/>
      <x:c r="F9" s="28"/>
      <x:c r="G9" s="28"/>
      <x:c r="H9" s="28"/>
    </x:row>
    <x:row r="10" ht="25" customHeight="1">
      <x:c r="A10" s="64" t="str">
        <x:v>هامش المساهمة المقدر</x:v>
      </x:c>
      <x:c r="B10" s="65"/>
      <x:c r="C10" s="64" t="str">
        <x:v>متوسط قيمة الطلب</x:v>
      </x:c>
      <x:c r="D10" s="65"/>
      <x:c r="E10" s="64" t="str">
        <x:v>متوسط التقييم</x:v>
      </x:c>
      <x:c r="F10" s="65"/>
      <x:c r="G10" s="64" t="str">
        <x:v>استجابة الفيدباك</x:v>
      </x:c>
      <x:c r="H10" s="65"/>
    </x:row>
    <x:row r="11" ht="36" customHeight="1">
      <x:c r="A11" s="73" t="n">
        <x:f>SUMIFS('الطلبات'!$S$7:$S$206,'الطلبات'!$A$7:$A$206,"&lt;&gt;",'الطلبات'!$A$7:$A$206,"&lt;&gt;مثال-احذفه",'الطلبات'!$X$7:$X$206,"&lt;&gt;ملغي",'الطلبات'!$X$7:$X$206,"&lt;&gt;مرتجع")</x:f>
        <x:v>0</x:v>
      </x:c>
      <x:c r="B11" s="74"/>
      <x:c r="C11" s="73" t="n">
        <x:f>IF(A5=0,0,C8/A5)</x:f>
        <x:v>0</x:v>
      </x:c>
      <x:c r="D11" s="72"/>
      <x:c r="E11" s="75" t="n">
        <x:f>IFERROR(SUMIFS('الفيدباك'!$G$7:$G$206,'الفيدباك'!$C$7:$C$206,"&lt;&gt;",'الفيدباك'!$C$7:$C$206,"&lt;&gt;مثال-احذفه")/COUNTIFS('الفيدباك'!$C$7:$C$206,"&lt;&gt;",'الفيدباك'!$C$7:$C$206,"&lt;&gt;مثال-احذفه"),0)</x:f>
        <x:v>0</x:v>
      </x:c>
      <x:c r="F11" s="72"/>
      <x:c r="G11" s="76" t="n">
        <x:f>IF(E5=0,0,COUNTIFS('الفيدباك'!$C$7:$C$206,"&lt;&gt;",'الفيدباك'!$C$7:$C$206,"&lt;&gt;مثال-احذفه")/E5)</x:f>
        <x:v>0</x:v>
      </x:c>
      <x:c r="H11" s="72"/>
    </x:row>
    <x:row r="12" ht="25" customHeight="1">
      <x:c r="A12" s="28"/>
      <x:c r="B12" s="28"/>
      <x:c r="C12" s="28"/>
      <x:c r="D12" s="28"/>
      <x:c r="E12" s="28"/>
      <x:c r="F12" s="28"/>
      <x:c r="G12" s="28"/>
      <x:c r="H12" s="28"/>
    </x:row>
    <x:row r="13" ht="25" customHeight="1">
      <x:c r="A13" s="64" t="str">
        <x:v>مخزون عسل ولبن</x:v>
      </x:c>
      <x:c r="B13" s="65"/>
      <x:c r="C13" s="64" t="str">
        <x:v>مخزون دبس تمر</x:v>
      </x:c>
      <x:c r="D13" s="65"/>
      <x:c r="E13" s="64" t="str">
        <x:v>إجمالي المخزون المتاح</x:v>
      </x:c>
      <x:c r="F13" s="65"/>
      <x:c r="G13" s="64" t="str">
        <x:v>آخر تحديث</x:v>
      </x:c>
      <x:c r="H13" s="65"/>
    </x:row>
    <x:row r="14" ht="36" customHeight="1">
      <x:c r="A14" s="71" t="n">
        <x:f>'المخزون'!G6</x:f>
        <x:v>238</x:v>
      </x:c>
      <x:c r="B14" s="72"/>
      <x:c r="C14" s="71" t="n">
        <x:f>'المخزون'!G7</x:f>
        <x:v>250</x:v>
      </x:c>
      <x:c r="D14" s="72"/>
      <x:c r="E14" s="71" t="n">
        <x:f>SUM('المخزون'!$G$6:$G$7)</x:f>
        <x:v>488</x:v>
      </x:c>
      <x:c r="F14" s="72"/>
      <x:c r="G14" s="77" t="n">
        <x:f>TODAY()</x:f>
        <x:v>46281</x:v>
      </x:c>
      <x:c r="H14" s="72"/>
    </x:row>
    <x:row r="15" ht="25" customHeight="1">
      <x:c r="A15" s="28"/>
      <x:c r="B15" s="28"/>
      <x:c r="C15" s="28"/>
      <x:c r="D15" s="28"/>
      <x:c r="E15" s="28"/>
      <x:c r="F15" s="28"/>
      <x:c r="G15" s="28"/>
      <x:c r="H15" s="28"/>
    </x:row>
    <x:row r="16" ht="25" customHeight="1">
      <x:c r="A16" s="28"/>
      <x:c r="B16" s="28"/>
      <x:c r="C16" s="28"/>
      <x:c r="D16" s="28"/>
      <x:c r="E16" s="28"/>
      <x:c r="F16" s="28"/>
      <x:c r="G16" s="28"/>
      <x:c r="H16" s="28"/>
    </x:row>
    <x:row r="17" ht="25" customHeight="1">
      <x:c r="A17" s="24" t="str">
        <x:v>تنبيهات تحتاج إجراء</x:v>
      </x:c>
      <x:c r="B17" s="24"/>
      <x:c r="C17" s="24"/>
      <x:c r="D17" s="24"/>
      <x:c r="E17" s="24"/>
      <x:c r="F17" s="24"/>
      <x:c r="G17" s="24"/>
      <x:c r="H17" s="24"/>
    </x:row>
    <x:row r="18" ht="25" customHeight="1">
      <x:c r="A18" s="82" t="str">
        <x:v>طلبات متأخرة</x:v>
      </x:c>
      <x:c r="B18" s="83"/>
      <x:c r="C18" s="92" t="str">
        <x:v>مبالغ تحتاج تحصيل</x:v>
      </x:c>
      <x:c r="D18" s="93"/>
      <x:c r="E18" s="92" t="str">
        <x:v>ابعت لينك الفيدباك</x:v>
      </x:c>
      <x:c r="F18" s="93"/>
      <x:c r="G18" s="92" t="str">
        <x:v>تابع الفيدباك</x:v>
      </x:c>
      <x:c r="H18" s="93"/>
    </x:row>
    <x:row r="19" ht="34" customHeight="1">
      <x:c r="A19" s="87" t="n">
        <x:f>COUNTIF('الطلبات'!$AJ$7:$AJ$206,"متأخر عن موعد التوصيل")</x:f>
        <x:v>0</x:v>
      </x:c>
      <x:c r="B19" s="88"/>
      <x:c r="C19" s="97" t="n">
        <x:f>COUNTIF('الطلبات'!$AJ$7:$AJ$206,"حصّل المبلغ المتبقي")</x:f>
        <x:v>0</x:v>
      </x:c>
      <x:c r="D19" s="98"/>
      <x:c r="E19" s="97" t="n">
        <x:f>COUNTIF('الطلبات'!$AJ$7:$AJ$206,"ابعت لينك الفيدباك")</x:f>
        <x:v>0</x:v>
      </x:c>
      <x:c r="F19" s="98"/>
      <x:c r="G19" s="97" t="n">
        <x:f>COUNTIF('الطلبات'!$AJ$7:$AJ$206,"تابع الفيدباك")</x:f>
        <x:v>0</x:v>
      </x:c>
      <x:c r="H19" s="98"/>
    </x:row>
    <x:row r="20">
      <x:c r="A20" s="28"/>
      <x:c r="B20" s="28"/>
      <x:c r="C20" s="28"/>
      <x:c r="D20" s="28"/>
      <x:c r="E20" s="28"/>
      <x:c r="F20" s="28"/>
      <x:c r="G20" s="28"/>
      <x:c r="H20" s="28"/>
    </x:row>
    <x:row r="21">
      <x:c r="A21" s="28"/>
      <x:c r="B21" s="28"/>
      <x:c r="C21" s="28"/>
      <x:c r="D21" s="28"/>
      <x:c r="E21" s="28"/>
      <x:c r="F21" s="28"/>
      <x:c r="G21" s="28"/>
      <x:c r="H21" s="28"/>
    </x:row>
    <x:row r="22">
      <x:c r="A22" s="15" t="str">
        <x:v>حالة الطلب</x:v>
      </x:c>
      <x:c r="B22" s="15" t="str">
        <x:v>عدد الطلبات</x:v>
      </x:c>
      <x:c r="C22" s="28"/>
      <x:c r="D22" s="28"/>
      <x:c r="E22" s="28"/>
      <x:c r="F22" s="28"/>
      <x:c r="G22" s="28"/>
      <x:c r="H22" s="28"/>
    </x:row>
    <x:row r="23">
      <x:c r="A23" s="17" t="str">
        <x:v>جديد</x:v>
      </x:c>
      <x:c r="B23" s="17" t="n">
        <x:f>COUNTIFS('الطلبات'!$A$7:$A$206,"&lt;&gt;مثال-احذفه",'الطلبات'!$X$7:$X$206,A23)</x:f>
        <x:v>0</x:v>
      </x:c>
      <x:c r="C23" s="28"/>
      <x:c r="D23" s="28"/>
      <x:c r="E23" s="28"/>
      <x:c r="F23" s="28"/>
      <x:c r="G23" s="28"/>
      <x:c r="H23" s="28"/>
    </x:row>
    <x:row r="24">
      <x:c r="A24" s="17" t="str">
        <x:v>مؤكد</x:v>
      </x:c>
      <x:c r="B24" s="17" t="n">
        <x:f>COUNTIFS('الطلبات'!$A$7:$A$206,"&lt;&gt;مثال-احذفه",'الطلبات'!$X$7:$X$206,A24)</x:f>
        <x:v>0</x:v>
      </x:c>
      <x:c r="C24" s="28"/>
      <x:c r="D24" s="28"/>
      <x:c r="E24" s="28"/>
      <x:c r="F24" s="28"/>
      <x:c r="G24" s="28"/>
      <x:c r="H24" s="28"/>
    </x:row>
    <x:row r="25">
      <x:c r="A25" s="17" t="str">
        <x:v>جاري التجهيز</x:v>
      </x:c>
      <x:c r="B25" s="17" t="n">
        <x:f>COUNTIFS('الطلبات'!$A$7:$A$206,"&lt;&gt;مثال-احذفه",'الطلبات'!$X$7:$X$206,A25)</x:f>
        <x:v>0</x:v>
      </x:c>
      <x:c r="C25" s="28"/>
      <x:c r="D25" s="28"/>
      <x:c r="E25" s="28"/>
      <x:c r="F25" s="28"/>
      <x:c r="G25" s="28"/>
      <x:c r="H25" s="28"/>
    </x:row>
    <x:row r="26">
      <x:c r="A26" s="17" t="str">
        <x:v>جاهز</x:v>
      </x:c>
      <x:c r="B26" s="17" t="n">
        <x:f>COUNTIFS('الطلبات'!$A$7:$A$206,"&lt;&gt;مثال-احذفه",'الطلبات'!$X$7:$X$206,A26)</x:f>
        <x:v>0</x:v>
      </x:c>
      <x:c r="C26" s="28"/>
      <x:c r="D26" s="28"/>
      <x:c r="E26" s="28"/>
      <x:c r="F26" s="28"/>
      <x:c r="G26" s="28"/>
      <x:c r="H26" s="28"/>
    </x:row>
    <x:row r="27">
      <x:c r="A27" s="17" t="str">
        <x:v>خرج للتوصيل</x:v>
      </x:c>
      <x:c r="B27" s="17" t="n">
        <x:f>COUNTIFS('الطلبات'!$A$7:$A$206,"&lt;&gt;مثال-احذفه",'الطلبات'!$X$7:$X$206,A27)</x:f>
        <x:v>0</x:v>
      </x:c>
      <x:c r="C27" s="28"/>
      <x:c r="D27" s="28"/>
      <x:c r="E27" s="28"/>
      <x:c r="F27" s="28"/>
      <x:c r="G27" s="28"/>
      <x:c r="H27" s="28"/>
    </x:row>
    <x:row r="28">
      <x:c r="A28" s="17" t="str">
        <x:v>تم التوصيل</x:v>
      </x:c>
      <x:c r="B28" s="17" t="n">
        <x:f>COUNTIFS('الطلبات'!$A$7:$A$206,"&lt;&gt;مثال-احذفه",'الطلبات'!$X$7:$X$206,A28)</x:f>
        <x:v>0</x:v>
      </x:c>
      <x:c r="C28" s="28"/>
      <x:c r="D28" s="28"/>
      <x:c r="E28" s="28"/>
      <x:c r="F28" s="28"/>
      <x:c r="G28" s="28"/>
      <x:c r="H28" s="28"/>
    </x:row>
    <x:row r="29">
      <x:c r="A29" s="17" t="str">
        <x:v>ملغي</x:v>
      </x:c>
      <x:c r="B29" s="17" t="n">
        <x:f>COUNTIFS('الطلبات'!$A$7:$A$206,"&lt;&gt;مثال-احذفه",'الطلبات'!$X$7:$X$206,A29)</x:f>
        <x:v>0</x:v>
      </x:c>
      <x:c r="C29" s="28"/>
      <x:c r="D29" s="28"/>
      <x:c r="E29" s="28"/>
      <x:c r="F29" s="28"/>
      <x:c r="G29" s="28"/>
      <x:c r="H29" s="28"/>
    </x:row>
    <x:row r="30">
      <x:c r="A30" s="17" t="str">
        <x:v>مرتجع</x:v>
      </x:c>
      <x:c r="B30" s="17" t="n">
        <x:f>COUNTIFS('الطلبات'!$A$7:$A$206,"&lt;&gt;مثال-احذفه",'الطلبات'!$X$7:$X$206,A30)</x:f>
        <x:v>0</x:v>
      </x:c>
      <x:c r="C30" s="28"/>
      <x:c r="D30" s="28"/>
      <x:c r="E30" s="28"/>
      <x:c r="F30" s="28"/>
      <x:c r="G30" s="28"/>
      <x:c r="H30" s="28"/>
    </x:row>
    <x:row r="31">
      <x:c r="A31" s="28"/>
      <x:c r="B31" s="28"/>
      <x:c r="C31" s="28"/>
      <x:c r="D31" s="28"/>
      <x:c r="E31" s="28"/>
      <x:c r="F31" s="28"/>
      <x:c r="G31" s="28"/>
      <x:c r="H31" s="28"/>
    </x:row>
    <x:row r="32">
      <x:c r="A32" s="28"/>
      <x:c r="B32" s="28"/>
      <x:c r="C32" s="28"/>
      <x:c r="D32" s="28"/>
      <x:c r="E32" s="28"/>
      <x:c r="F32" s="28"/>
      <x:c r="G32" s="28"/>
      <x:c r="H32" s="28"/>
    </x:row>
    <x:row r="33">
      <x:c r="A33" s="28"/>
      <x:c r="B33" s="28"/>
      <x:c r="C33" s="28"/>
      <x:c r="D33" s="28"/>
      <x:c r="E33" s="28"/>
      <x:c r="F33" s="28"/>
      <x:c r="G33" s="28"/>
      <x:c r="H33" s="28"/>
    </x:row>
    <x:row r="34">
      <x:c r="A34" s="28"/>
      <x:c r="B34" s="28"/>
      <x:c r="C34" s="28"/>
      <x:c r="D34" s="28"/>
      <x:c r="E34" s="28"/>
      <x:c r="F34" s="28"/>
      <x:c r="G34" s="28"/>
      <x:c r="H34" s="28"/>
    </x:row>
    <x:row r="35">
      <x:c r="A35" s="28"/>
      <x:c r="B35" s="28"/>
      <x:c r="C35" s="28"/>
      <x:c r="D35" s="28"/>
      <x:c r="E35" s="28"/>
      <x:c r="F35" s="28"/>
      <x:c r="G35" s="28"/>
      <x:c r="H35" s="28"/>
    </x:row>
    <x:row r="36">
      <x:c r="A36" s="99" t="str">
        <x:v>رابط نموذج الفيدباك</x:v>
      </x:c>
      <x:c r="B36" s="99"/>
      <x:c r="C36" s="99"/>
      <x:c r="D36" s="99"/>
      <x:c r="E36" s="99"/>
      <x:c r="F36" s="99"/>
      <x:c r="G36" s="99"/>
      <x:c r="H36" s="99"/>
    </x:row>
    <x:row r="37">
      <x:c r="A37" s="119" t="str">
        <x:f>IF('القوائم والإعدادات'!B8="","الصق رابط Google Form في القوائم والإعدادات!B8",'القوائم والإعدادات'!B8)</x:f>
        <x:v>الصق رابط Google Form في القوائم والإعدادات!B8</x:v>
      </x:c>
      <x:c r="B37" s="120"/>
      <x:c r="C37" s="120"/>
      <x:c r="D37" s="120"/>
      <x:c r="E37" s="120"/>
      <x:c r="F37" s="120"/>
      <x:c r="G37" s="120"/>
      <x:c r="H37" s="121"/>
    </x:row>
    <x:row r="38">
      <x:c r="A38" s="122"/>
      <x:c r="B38" s="123"/>
      <x:c r="C38" s="123"/>
      <x:c r="D38" s="123"/>
      <x:c r="E38" s="123"/>
      <x:c r="F38" s="123"/>
      <x:c r="G38" s="123"/>
      <x:c r="H38" s="124"/>
    </x:row>
  </x:sheetData>
  <x:mergeCells>
    <x:mergeCell ref="A1:H1"/>
    <x:mergeCell ref="A2:H2"/>
    <x:mergeCell ref="A4:B4"/>
    <x:mergeCell ref="A5:B5"/>
    <x:mergeCell ref="C4:D4"/>
    <x:mergeCell ref="C5:D5"/>
    <x:mergeCell ref="E4:F4"/>
    <x:mergeCell ref="E5:F5"/>
    <x:mergeCell ref="G4:H4"/>
    <x:mergeCell ref="G5:H5"/>
    <x:mergeCell ref="A7:B7"/>
    <x:mergeCell ref="A8:B8"/>
    <x:mergeCell ref="C7:D7"/>
    <x:mergeCell ref="C8:D8"/>
    <x:mergeCell ref="E7:F7"/>
    <x:mergeCell ref="E8:F8"/>
    <x:mergeCell ref="G7:H7"/>
    <x:mergeCell ref="G8:H8"/>
    <x:mergeCell ref="A10:B10"/>
    <x:mergeCell ref="A11:B11"/>
    <x:mergeCell ref="C10:D10"/>
    <x:mergeCell ref="C11:D11"/>
    <x:mergeCell ref="E10:F10"/>
    <x:mergeCell ref="E11:F11"/>
    <x:mergeCell ref="G10:H10"/>
    <x:mergeCell ref="G11:H11"/>
    <x:mergeCell ref="A13:B13"/>
    <x:mergeCell ref="A14:B14"/>
    <x:mergeCell ref="C13:D13"/>
    <x:mergeCell ref="C14:D14"/>
    <x:mergeCell ref="E13:F13"/>
    <x:mergeCell ref="E14:F14"/>
    <x:mergeCell ref="G13:H13"/>
    <x:mergeCell ref="G14:H14"/>
    <x:mergeCell ref="A17:H17"/>
    <x:mergeCell ref="A18:B18"/>
    <x:mergeCell ref="A19:B19"/>
    <x:mergeCell ref="C18:D18"/>
    <x:mergeCell ref="C19:D19"/>
    <x:mergeCell ref="E18:F18"/>
    <x:mergeCell ref="E19:F19"/>
    <x:mergeCell ref="G18:H18"/>
    <x:mergeCell ref="G19:H19"/>
    <x:mergeCell ref="A36:H36"/>
    <x:mergeCell ref="A37:H38"/>
  </x:mergeCells>
  <x:pageMargins left="0.7" right="0.7" top="0.75" bottom="0.75" header="0.3" footer="0.3"/>
  <x:drawing xmlns:r="http://schemas.openxmlformats.org/officeDocument/2006/relationships" r:id="R17ee27abc2754443"/>
</x:worksheet>
</file>

<file path=xl/worksheets/sheet2.xml><?xml version="1.0" encoding="utf-8"?>
<x:worksheet xmlns:x="http://schemas.openxmlformats.org/spreadsheetml/2006/main">
  <x:sheetViews>
    <x:sheetView workbookViewId="0">
      <x:pane xSplit="6" ySplit="6" topLeftCell="G7" activePane="bottomRigh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5" hidden="0" customWidth="1"/>
    <x:col min="4" max="4" width="18" hidden="0" customWidth="1"/>
    <x:col min="5" max="5" width="16" hidden="0" customWidth="1"/>
    <x:col min="6" max="6" width="14" hidden="0" customWidth="1"/>
    <x:col min="7" max="7" width="28" hidden="0" customWidth="1"/>
    <x:col min="8" max="8" width="17" hidden="0" customWidth="1"/>
    <x:col min="9" max="9" width="13" hidden="0" customWidth="1"/>
    <x:col min="10" max="10" width="15" hidden="0" customWidth="1"/>
    <x:col min="11" max="11" width="13" hidden="0" customWidth="1"/>
    <x:col min="12" max="12" width="16" hidden="0" customWidth="1"/>
    <x:col min="13" max="13" width="16" hidden="0" customWidth="1"/>
    <x:col min="14" max="14" width="12" hidden="0" customWidth="1"/>
    <x:col min="15" max="15" width="17" hidden="0" customWidth="1"/>
    <x:col min="16" max="16" width="16" hidden="0" customWidth="1"/>
    <x:col min="17" max="17" width="16" hidden="0" customWidth="1"/>
    <x:col min="18" max="18" width="18" hidden="0" customWidth="1"/>
    <x:col min="19" max="19" width="18" hidden="0" customWidth="1"/>
    <x:col min="20" max="20" width="17" hidden="0" customWidth="1"/>
    <x:col min="21" max="21" width="16" hidden="0" customWidth="1"/>
    <x:col min="22" max="22" width="15" hidden="0" customWidth="1"/>
    <x:col min="23" max="23" width="14" hidden="0" customWidth="1"/>
    <x:col min="24" max="24" width="17" hidden="0" customWidth="1"/>
    <x:col min="25" max="25" width="20" hidden="0" customWidth="1"/>
    <x:col min="26" max="26" width="17" hidden="0" customWidth="1"/>
    <x:col min="27" max="27" width="17" hidden="0" customWidth="1"/>
    <x:col min="28" max="28" width="18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3" hidden="0" customWidth="1"/>
    <x:col min="34" max="34" width="18" hidden="0" customWidth="1"/>
    <x:col min="35" max="35" width="28" hidden="0" customWidth="1"/>
    <x:col min="36" max="36" width="28" hidden="0" customWidth="1"/>
  </x:cols>
  <x:sheetData>
    <x:row r="1" ht="34" customHeight="1">
      <x:c r="A1" s="4" t="str">
        <x:v>EasyOats | متابعة الطلبات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</x:row>
    <x:row r="2" ht="34" customHeight="1">
      <x:c r="A2" s="9" t="str">
        <x:v>سجّل الطلب مرة واحدة ثم حدّث الحالة والتحصيل والتوصيل. الأصفر = إدخال يدوي، الأزرق = محسوب، وعمود الإجراء التالي ينبهك تلقائيًا.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  <x:c r="AH2" s="9"/>
      <x:c r="AI2" s="9"/>
      <x:c r="AJ2" s="9"/>
    </x:row>
    <x:row r="3">
      <x:c r="A3" s="39" t="str">
        <x:v>مهم: استخدم رقم طلب ثابت وفريد. صف «مثال-احذفه» للتوضيح فقط ومُستبعد من لوحة المتابعة والمخزون.</x:v>
      </x:c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  <x:c r="AA3" s="39"/>
      <x:c r="AB3" s="39"/>
      <x:c r="AC3" s="39"/>
      <x:c r="AD3" s="39"/>
      <x:c r="AE3" s="39"/>
      <x:c r="AF3" s="39"/>
      <x:c r="AG3" s="39"/>
      <x:c r="AH3" s="39"/>
      <x:c r="AI3" s="39"/>
      <x:c r="AJ3" s="39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  <x:c r="AA4" s="28"/>
      <x:c r="AB4" s="28"/>
      <x:c r="AC4" s="28"/>
      <x:c r="AD4" s="28"/>
      <x:c r="AE4" s="28"/>
      <x:c r="AF4" s="28"/>
      <x:c r="AG4" s="28"/>
      <x:c r="AH4" s="28"/>
      <x:c r="AI4" s="28"/>
      <x:c r="AJ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  <x:c r="AA5" s="28"/>
      <x:c r="AB5" s="28"/>
      <x:c r="AC5" s="28"/>
      <x:c r="AD5" s="28"/>
      <x:c r="AE5" s="28"/>
      <x:c r="AF5" s="28"/>
      <x:c r="AG5" s="28"/>
      <x:c r="AH5" s="28"/>
      <x:c r="AI5" s="28"/>
      <x:c r="AJ5" s="28"/>
    </x:row>
    <x:row r="6" ht="48" customHeight="1">
      <x:c r="A6" s="15" t="str">
        <x:v>رقم الطلب</x:v>
      </x:c>
      <x:c r="B6" s="15" t="str">
        <x:v>تاريخ الطلب</x:v>
      </x:c>
      <x:c r="C6" s="15" t="str">
        <x:v>مصدر الطلب</x:v>
      </x:c>
      <x:c r="D6" s="15" t="str">
        <x:v>اسم العميل</x:v>
      </x:c>
      <x:c r="E6" s="15" t="str">
        <x:v>رقم الموبايل</x:v>
      </x:c>
      <x:c r="F6" s="15" t="str">
        <x:v>المنطقة</x:v>
      </x:c>
      <x:c r="G6" s="15" t="str">
        <x:v>العنوان / لينك اللوكيشن</x:v>
      </x:c>
      <x:c r="H6" s="15" t="str">
        <x:v>نوع الطلب</x:v>
      </x:c>
      <x:c r="I6" s="15" t="str">
        <x:v>كمية عسل ولبن</x:v>
      </x:c>
      <x:c r="J6" s="15" t="str">
        <x:v>كمية دبس تمر ولبن</x:v>
      </x:c>
      <x:c r="K6" s="15" t="str">
        <x:v>إجمالي الوحدات</x:v>
      </x:c>
      <x:c r="L6" s="15" t="str">
        <x:v>سعر الوحدة المطبق</x:v>
      </x:c>
      <x:c r="M6" s="15" t="str">
        <x:v>إجمالي المنتجات</x:v>
      </x:c>
      <x:c r="N6" s="15" t="str">
        <x:v>الخصم</x:v>
      </x:c>
      <x:c r="O6" s="15" t="str">
        <x:v>مصاريف الشحن المحصلة</x:v>
      </x:c>
      <x:c r="P6" s="15" t="str">
        <x:v>تكلفة الشحن الفعلية</x:v>
      </x:c>
      <x:c r="Q6" s="15" t="str">
        <x:v>إجمالي المطلوب</x:v>
      </x:c>
      <x:c r="R6" s="15" t="str">
        <x:v>تكلفة المنتجات التقديرية</x:v>
      </x:c>
      <x:c r="S6" s="15" t="str">
        <x:v>هامش المساهمة المقدر</x:v>
      </x:c>
      <x:c r="T6" s="15" t="str">
        <x:v>طريقة الدفع</x:v>
      </x:c>
      <x:c r="U6" s="15" t="str">
        <x:v>حالة الدفع</x:v>
      </x:c>
      <x:c r="V6" s="15" t="str">
        <x:v>المبلغ المحصل</x:v>
      </x:c>
      <x:c r="W6" s="15" t="str">
        <x:v>المتبقي</x:v>
      </x:c>
      <x:c r="X6" s="15" t="str">
        <x:v>حالة الطلب</x:v>
      </x:c>
      <x:c r="Y6" s="15" t="str">
        <x:v>مسؤول الطلب / الكابتن</x:v>
      </x:c>
      <x:c r="Z6" s="15" t="str">
        <x:v>تاريخ التوصيل المتوقع</x:v>
      </x:c>
      <x:c r="AA6" s="15" t="str">
        <x:v>تاريخ التوصيل الفعلي</x:v>
      </x:c>
      <x:c r="AB6" s="15" t="str">
        <x:v>رقم الشحنة / التتبع</x:v>
      </x:c>
      <x:c r="AC6" s="15" t="str">
        <x:v>نتيجة التوصيل</x:v>
      </x:c>
      <x:c r="AD6" s="15" t="str">
        <x:v>موافقة الفيدباك</x:v>
      </x:c>
      <x:c r="AE6" s="15" t="str">
        <x:v>تاريخ طلب الفيدباك</x:v>
      </x:c>
      <x:c r="AF6" s="15" t="str">
        <x:v>حالة الفيدباك</x:v>
      </x:c>
      <x:c r="AG6" s="15" t="str">
        <x:v>التقييم العام</x:v>
      </x:c>
      <x:c r="AH6" s="15" t="str">
        <x:v>هل سيشتري مرة أخرى؟</x:v>
      </x:c>
      <x:c r="AI6" s="15" t="str">
        <x:v>ملاحظات</x:v>
      </x:c>
      <x:c r="AJ6" s="15" t="str">
        <x:v>الإجراء التالي</x:v>
      </x:c>
    </x:row>
    <x:row r="7" ht="31" customHeight="1">
      <x:c r="A7" s="44" t="str">
        <x:v>مثال-احذفه</x:v>
      </x:c>
      <x:c r="B7" s="45" t="n">
        <x:v>46281.375</x:v>
      </x:c>
      <x:c r="C7" s="44" t="str">
        <x:v>واتساب</x:v>
      </x:c>
      <x:c r="D7" s="44" t="str">
        <x:v>عميل تجريبي</x:v>
      </x:c>
      <x:c r="E7" s="49" t="str">
        <x:v>01000000000</x:v>
      </x:c>
      <x:c r="F7" s="44" t="str">
        <x:v>القاهرة</x:v>
      </x:c>
      <x:c r="G7" s="44" t="str">
        <x:v>عنوان أو لينك اللوكيشن</x:v>
      </x:c>
      <x:c r="H7" s="44" t="str">
        <x:v>عرض 2 بـ120</x:v>
      </x:c>
      <x:c r="I7" s="51" t="n">
        <x:v>1</x:v>
      </x:c>
      <x:c r="J7" s="51" t="n">
        <x:v>1</x:v>
      </x:c>
      <x:c r="K7" s="51" t="n">
        <x:f>IF(A7="","",I7+J7)</x:f>
        <x:v>2</x:v>
      </x:c>
      <x:c r="L7" s="54" t="n">
        <x:f>IF(A7="","",IF(H7="عرض 2 بـ120",'القوائم والإعدادات'!$B$6/2,IF(H7="عينة",0,'القوائم والإعدادات'!$B$5)))</x:f>
        <x:v>60</x:v>
      </x:c>
      <x:c r="M7" s="54" t="n">
        <x:f>IF(A7="","",K7*L7)</x:f>
        <x:v>120</x:v>
      </x:c>
      <x:c r="N7" s="54" t="n">
        <x:v>0</x:v>
      </x:c>
      <x:c r="O7" s="54" t="n">
        <x:v>35</x:v>
      </x:c>
      <x:c r="P7" s="54" t="n">
        <x:v>30</x:v>
      </x:c>
      <x:c r="Q7" s="54" t="n">
        <x:f>IF(A7="","",MAX(0,M7-N7+O7))</x:f>
        <x:v>155</x:v>
      </x:c>
      <x:c r="R7" s="54" t="n">
        <x:f>IF(A7="","",I7*'المخزون'!$L$6+J7*'المخزون'!$L$7)</x:f>
        <x:v>82.5</x:v>
      </x:c>
      <x:c r="S7" s="54" t="n">
        <x:f>IF(A7="","",Q7-R7-P7)</x:f>
        <x:v>42.5</x:v>
      </x:c>
      <x:c r="T7" s="44" t="str">
        <x:v>إنستاباي</x:v>
      </x:c>
      <x:c r="U7" s="44" t="str">
        <x:v>مدفوع</x:v>
      </x:c>
      <x:c r="V7" s="54" t="n">
        <x:v>155</x:v>
      </x:c>
      <x:c r="W7" s="54" t="n">
        <x:f>IF(A7="","",MAX(0,Q7-V7))</x:f>
        <x:v>0</x:v>
      </x:c>
      <x:c r="X7" s="44" t="str">
        <x:v>تم التوصيل</x:v>
      </x:c>
      <x:c r="Y7" s="44" t="str">
        <x:v>Eslam</x:v>
      </x:c>
      <x:c r="Z7" s="47" t="n">
        <x:v>46282</x:v>
      </x:c>
      <x:c r="AA7" s="47" t="n">
        <x:v>46282</x:v>
      </x:c>
      <x:c r="AB7" s="44" t="str">
        <x:v>—</x:v>
      </x:c>
      <x:c r="AC7" s="44" t="str">
        <x:v>ناجح</x:v>
      </x:c>
      <x:c r="AD7" s="44" t="str">
        <x:v>موافق</x:v>
      </x:c>
      <x:c r="AE7" s="47" t="n">
        <x:v>46283</x:v>
      </x:c>
      <x:c r="AF7" s="44" t="str">
        <x:v>تم الاستلام</x:v>
      </x:c>
      <x:c r="AG7" s="57" t="n">
        <x:f>IF(A7="","",IFERROR(VLOOKUP(A7,'الفيدباك'!$C$7:$G$206,5,FALSE),""))</x:f>
        <x:v>5</x:v>
      </x:c>
      <x:c r="AH7" s="44" t="str">
        <x:f>IF(A7="","",IFERROR(VLOOKUP(A7,'الفيدباك'!$C$7:$L$206,10,FALSE),""))</x:f>
        <x:v>نعم</x:v>
      </x:c>
      <x:c r="AI7" s="44" t="str">
        <x:v>صف توضيحي؛ احذفه قبل بدء التسجيل</x:v>
      </x:c>
      <x:c r="AJ7" s="44" t="str">
        <x:f>IF(A7="","",IF(A7="مثال-احذفه","صف توضيحي - احذفه قبل البدء",IF(X7="","حدّث حالة الطلب",IF(AND(X7&lt;&gt;"تم التوصيل",X7&lt;&gt;"ملغي",X7&lt;&gt;"مرتجع",Z7&lt;&gt;"",Z7&lt;TODAY()),"متأخر عن موعد التوصيل",IF(AND(X7="تم التوصيل",W7&gt;0),"حصّل المبلغ المتبقي",IF(AND(X7="تم التوصيل",AD7="موافق",OR(AF7="",AF7="لم يُطلب")),"ابعت لينك الفيدباك",IF(AND(AF7="تم إرسال الرابط",AE7&lt;&gt;"",TODAY()-AE7&gt;=3),"تابع الفيدباك","لا يوجد إجراء عاجل")))))))</x:f>
        <x:v>صف توضيحي - احذفه قبل البدء</x:v>
      </x:c>
    </x:row>
    <x:row r="8" ht="31" customHeight="1">
      <x:c r="A8" s="41"/>
      <x:c r="B8" s="46"/>
      <x:c r="C8" s="41"/>
      <x:c r="D8" s="41"/>
      <x:c r="E8" s="50"/>
      <x:c r="F8" s="41"/>
      <x:c r="G8" s="41"/>
      <x:c r="H8" s="41"/>
      <x:c r="I8" s="52"/>
      <x:c r="J8" s="52"/>
      <x:c r="K8" s="53" t="str">
        <x:f>IF(A8="","",I8+J8)</x:f>
      </x:c>
      <x:c r="L8" s="55" t="str">
        <x:f>IF(A8="","",IF(H8="عرض 2 بـ120",'القوائم والإعدادات'!$B$6/2,IF(H8="عينة",0,'القوائم والإعدادات'!$B$5)))</x:f>
      </x:c>
      <x:c r="M8" s="55" t="str">
        <x:f>IF(A8="","",K8*L8)</x:f>
      </x:c>
      <x:c r="N8" s="56"/>
      <x:c r="O8" s="56"/>
      <x:c r="P8" s="56"/>
      <x:c r="Q8" s="55" t="str">
        <x:f>IF(A8="","",MAX(0,M8-N8+O8))</x:f>
      </x:c>
      <x:c r="R8" s="55" t="str">
        <x:f>IF(A8="","",I8*'المخزون'!$L$6+J8*'المخزون'!$L$7)</x:f>
      </x:c>
      <x:c r="S8" s="55" t="str">
        <x:f>IF(A8="","",Q8-R8-P8)</x:f>
      </x:c>
      <x:c r="T8" s="41"/>
      <x:c r="U8" s="41"/>
      <x:c r="V8" s="56"/>
      <x:c r="W8" s="55" t="str">
        <x:f>IF(A8="","",MAX(0,Q8-V8))</x:f>
      </x:c>
      <x:c r="X8" s="41"/>
      <x:c r="Y8" s="41"/>
      <x:c r="Z8" s="48"/>
      <x:c r="AA8" s="48"/>
      <x:c r="AB8" s="41"/>
      <x:c r="AC8" s="41"/>
      <x:c r="AD8" s="41"/>
      <x:c r="AE8" s="48"/>
      <x:c r="AF8" s="41"/>
      <x:c r="AG8" s="58" t="str">
        <x:f>IF(A8="","",IFERROR(VLOOKUP(A8,'الفيدباك'!$C$7:$G$206,5,FALSE),""))</x:f>
      </x:c>
      <x:c r="AH8" s="42" t="str">
        <x:f>IF(A8="","",IFERROR(VLOOKUP(A8,'الفيدباك'!$C$7:$L$206,10,FALSE),""))</x:f>
      </x:c>
      <x:c r="AI8" s="41"/>
      <x:c r="AJ8" s="42" t="str">
        <x:f>IF(A8="","",IF(A8="مثال-احذفه","صف توضيحي - احذفه قبل البدء",IF(X8="","حدّث حالة الطلب",IF(AND(X8&lt;&gt;"تم التوصيل",X8&lt;&gt;"ملغي",X8&lt;&gt;"مرتجع",Z8&lt;&gt;"",Z8&lt;TODAY()),"متأخر عن موعد التوصيل",IF(AND(X8="تم التوصيل",W8&gt;0),"حصّل المبلغ المتبقي",IF(AND(X8="تم التوصيل",AD8="موافق",OR(AF8="",AF8="لم يُطلب")),"ابعت لينك الفيدباك",IF(AND(AF8="تم إرسال الرابط",AE8&lt;&gt;"",TODAY()-AE8&gt;=3),"تابع الفيدباك","لا يوجد إجراء عاجل")))))))</x:f>
      </x:c>
    </x:row>
    <x:row r="9" ht="31" customHeight="1">
      <x:c r="A9" s="41"/>
      <x:c r="B9" s="46"/>
      <x:c r="C9" s="41"/>
      <x:c r="D9" s="41"/>
      <x:c r="E9" s="50"/>
      <x:c r="F9" s="41"/>
      <x:c r="G9" s="41"/>
      <x:c r="H9" s="41"/>
      <x:c r="I9" s="52"/>
      <x:c r="J9" s="52"/>
      <x:c r="K9" s="53" t="str">
        <x:f>IF(A9="","",I9+J9)</x:f>
      </x:c>
      <x:c r="L9" s="55" t="str">
        <x:f>IF(A9="","",IF(H9="عرض 2 بـ120",'القوائم والإعدادات'!$B$6/2,IF(H9="عينة",0,'القوائم والإعدادات'!$B$5)))</x:f>
      </x:c>
      <x:c r="M9" s="55" t="str">
        <x:f>IF(A9="","",K9*L9)</x:f>
      </x:c>
      <x:c r="N9" s="56"/>
      <x:c r="O9" s="56"/>
      <x:c r="P9" s="56"/>
      <x:c r="Q9" s="55" t="str">
        <x:f>IF(A9="","",MAX(0,M9-N9+O9))</x:f>
      </x:c>
      <x:c r="R9" s="55" t="str">
        <x:f>IF(A9="","",I9*'المخزون'!$L$6+J9*'المخزون'!$L$7)</x:f>
      </x:c>
      <x:c r="S9" s="55" t="str">
        <x:f>IF(A9="","",Q9-R9-P9)</x:f>
      </x:c>
      <x:c r="T9" s="41"/>
      <x:c r="U9" s="41"/>
      <x:c r="V9" s="56"/>
      <x:c r="W9" s="55" t="str">
        <x:f>IF(A9="","",MAX(0,Q9-V9))</x:f>
      </x:c>
      <x:c r="X9" s="41"/>
      <x:c r="Y9" s="41"/>
      <x:c r="Z9" s="48"/>
      <x:c r="AA9" s="48"/>
      <x:c r="AB9" s="41"/>
      <x:c r="AC9" s="41"/>
      <x:c r="AD9" s="41"/>
      <x:c r="AE9" s="48"/>
      <x:c r="AF9" s="41"/>
      <x:c r="AG9" s="58" t="str">
        <x:f>IF(A9="","",IFERROR(VLOOKUP(A9,'الفيدباك'!$C$7:$G$206,5,FALSE),""))</x:f>
      </x:c>
      <x:c r="AH9" s="42" t="str">
        <x:f>IF(A9="","",IFERROR(VLOOKUP(A9,'الفيدباك'!$C$7:$L$206,10,FALSE),""))</x:f>
      </x:c>
      <x:c r="AI9" s="41"/>
      <x:c r="AJ9" s="42" t="str">
        <x:f>IF(A9="","",IF(A9="مثال-احذفه","صف توضيحي - احذفه قبل البدء",IF(X9="","حدّث حالة الطلب",IF(AND(X9&lt;&gt;"تم التوصيل",X9&lt;&gt;"ملغي",X9&lt;&gt;"مرتجع",Z9&lt;&gt;"",Z9&lt;TODAY()),"متأخر عن موعد التوصيل",IF(AND(X9="تم التوصيل",W9&gt;0),"حصّل المبلغ المتبقي",IF(AND(X9="تم التوصيل",AD9="موافق",OR(AF9="",AF9="لم يُطلب")),"ابعت لينك الفيدباك",IF(AND(AF9="تم إرسال الرابط",AE9&lt;&gt;"",TODAY()-AE9&gt;=3),"تابع الفيدباك","لا يوجد إجراء عاجل")))))))</x:f>
      </x:c>
    </x:row>
    <x:row r="10" ht="31" customHeight="1">
      <x:c r="A10" s="41"/>
      <x:c r="B10" s="46"/>
      <x:c r="C10" s="41"/>
      <x:c r="D10" s="41"/>
      <x:c r="E10" s="50"/>
      <x:c r="F10" s="41"/>
      <x:c r="G10" s="41"/>
      <x:c r="H10" s="41"/>
      <x:c r="I10" s="52"/>
      <x:c r="J10" s="52"/>
      <x:c r="K10" s="53" t="str">
        <x:f>IF(A10="","",I10+J10)</x:f>
      </x:c>
      <x:c r="L10" s="55" t="str">
        <x:f>IF(A10="","",IF(H10="عرض 2 بـ120",'القوائم والإعدادات'!$B$6/2,IF(H10="عينة",0,'القوائم والإعدادات'!$B$5)))</x:f>
      </x:c>
      <x:c r="M10" s="55" t="str">
        <x:f>IF(A10="","",K10*L10)</x:f>
      </x:c>
      <x:c r="N10" s="56"/>
      <x:c r="O10" s="56"/>
      <x:c r="P10" s="56"/>
      <x:c r="Q10" s="55" t="str">
        <x:f>IF(A10="","",MAX(0,M10-N10+O10))</x:f>
      </x:c>
      <x:c r="R10" s="55" t="str">
        <x:f>IF(A10="","",I10*'المخزون'!$L$6+J10*'المخزون'!$L$7)</x:f>
      </x:c>
      <x:c r="S10" s="55" t="str">
        <x:f>IF(A10="","",Q10-R10-P10)</x:f>
      </x:c>
      <x:c r="T10" s="41"/>
      <x:c r="U10" s="41"/>
      <x:c r="V10" s="56"/>
      <x:c r="W10" s="55" t="str">
        <x:f>IF(A10="","",MAX(0,Q10-V10))</x:f>
      </x:c>
      <x:c r="X10" s="41"/>
      <x:c r="Y10" s="41"/>
      <x:c r="Z10" s="48"/>
      <x:c r="AA10" s="48"/>
      <x:c r="AB10" s="41"/>
      <x:c r="AC10" s="41"/>
      <x:c r="AD10" s="41"/>
      <x:c r="AE10" s="48"/>
      <x:c r="AF10" s="41"/>
      <x:c r="AG10" s="58" t="str">
        <x:f>IF(A10="","",IFERROR(VLOOKUP(A10,'الفيدباك'!$C$7:$G$206,5,FALSE),""))</x:f>
      </x:c>
      <x:c r="AH10" s="42" t="str">
        <x:f>IF(A10="","",IFERROR(VLOOKUP(A10,'الفيدباك'!$C$7:$L$206,10,FALSE),""))</x:f>
      </x:c>
      <x:c r="AI10" s="41"/>
      <x:c r="AJ10" s="42" t="str">
        <x:f>IF(A10="","",IF(A10="مثال-احذفه","صف توضيحي - احذفه قبل البدء",IF(X10="","حدّث حالة الطلب",IF(AND(X10&lt;&gt;"تم التوصيل",X10&lt;&gt;"ملغي",X10&lt;&gt;"مرتجع",Z10&lt;&gt;"",Z10&lt;TODAY()),"متأخر عن موعد التوصيل",IF(AND(X10="تم التوصيل",W10&gt;0),"حصّل المبلغ المتبقي",IF(AND(X10="تم التوصيل",AD10="موافق",OR(AF10="",AF10="لم يُطلب")),"ابعت لينك الفيدباك",IF(AND(AF10="تم إرسال الرابط",AE10&lt;&gt;"",TODAY()-AE10&gt;=3),"تابع الفيدباك","لا يوجد إجراء عاجل")))))))</x:f>
      </x:c>
    </x:row>
    <x:row r="11" ht="31" customHeight="1">
      <x:c r="A11" s="41"/>
      <x:c r="B11" s="46"/>
      <x:c r="C11" s="41"/>
      <x:c r="D11" s="41"/>
      <x:c r="E11" s="50"/>
      <x:c r="F11" s="41"/>
      <x:c r="G11" s="41"/>
      <x:c r="H11" s="41"/>
      <x:c r="I11" s="52"/>
      <x:c r="J11" s="52"/>
      <x:c r="K11" s="53" t="str">
        <x:f>IF(A11="","",I11+J11)</x:f>
      </x:c>
      <x:c r="L11" s="55" t="str">
        <x:f>IF(A11="","",IF(H11="عرض 2 بـ120",'القوائم والإعدادات'!$B$6/2,IF(H11="عينة",0,'القوائم والإعدادات'!$B$5)))</x:f>
      </x:c>
      <x:c r="M11" s="55" t="str">
        <x:f>IF(A11="","",K11*L11)</x:f>
      </x:c>
      <x:c r="N11" s="56"/>
      <x:c r="O11" s="56"/>
      <x:c r="P11" s="56"/>
      <x:c r="Q11" s="55" t="str">
        <x:f>IF(A11="","",MAX(0,M11-N11+O11))</x:f>
      </x:c>
      <x:c r="R11" s="55" t="str">
        <x:f>IF(A11="","",I11*'المخزون'!$L$6+J11*'المخزون'!$L$7)</x:f>
      </x:c>
      <x:c r="S11" s="55" t="str">
        <x:f>IF(A11="","",Q11-R11-P11)</x:f>
      </x:c>
      <x:c r="T11" s="41"/>
      <x:c r="U11" s="41"/>
      <x:c r="V11" s="56"/>
      <x:c r="W11" s="55" t="str">
        <x:f>IF(A11="","",MAX(0,Q11-V11))</x:f>
      </x:c>
      <x:c r="X11" s="41"/>
      <x:c r="Y11" s="41"/>
      <x:c r="Z11" s="48"/>
      <x:c r="AA11" s="48"/>
      <x:c r="AB11" s="41"/>
      <x:c r="AC11" s="41"/>
      <x:c r="AD11" s="41"/>
      <x:c r="AE11" s="48"/>
      <x:c r="AF11" s="41"/>
      <x:c r="AG11" s="58" t="str">
        <x:f>IF(A11="","",IFERROR(VLOOKUP(A11,'الفيدباك'!$C$7:$G$206,5,FALSE),""))</x:f>
      </x:c>
      <x:c r="AH11" s="42" t="str">
        <x:f>IF(A11="","",IFERROR(VLOOKUP(A11,'الفيدباك'!$C$7:$L$206,10,FALSE),""))</x:f>
      </x:c>
      <x:c r="AI11" s="41"/>
      <x:c r="AJ11" s="42" t="str">
        <x:f>IF(A11="","",IF(A11="مثال-احذفه","صف توضيحي - احذفه قبل البدء",IF(X11="","حدّث حالة الطلب",IF(AND(X11&lt;&gt;"تم التوصيل",X11&lt;&gt;"ملغي",X11&lt;&gt;"مرتجع",Z11&lt;&gt;"",Z11&lt;TODAY()),"متأخر عن موعد التوصيل",IF(AND(X11="تم التوصيل",W11&gt;0),"حصّل المبلغ المتبقي",IF(AND(X11="تم التوصيل",AD11="موافق",OR(AF11="",AF11="لم يُطلب")),"ابعت لينك الفيدباك",IF(AND(AF11="تم إرسال الرابط",AE11&lt;&gt;"",TODAY()-AE11&gt;=3),"تابع الفيدباك","لا يوجد إجراء عاجل")))))))</x:f>
      </x:c>
    </x:row>
    <x:row r="12" ht="31" customHeight="1">
      <x:c r="A12" s="41"/>
      <x:c r="B12" s="46"/>
      <x:c r="C12" s="41"/>
      <x:c r="D12" s="41"/>
      <x:c r="E12" s="50"/>
      <x:c r="F12" s="41"/>
      <x:c r="G12" s="41"/>
      <x:c r="H12" s="41"/>
      <x:c r="I12" s="52"/>
      <x:c r="J12" s="52"/>
      <x:c r="K12" s="53" t="str">
        <x:f>IF(A12="","",I12+J12)</x:f>
      </x:c>
      <x:c r="L12" s="55" t="str">
        <x:f>IF(A12="","",IF(H12="عرض 2 بـ120",'القوائم والإعدادات'!$B$6/2,IF(H12="عينة",0,'القوائم والإعدادات'!$B$5)))</x:f>
      </x:c>
      <x:c r="M12" s="55" t="str">
        <x:f>IF(A12="","",K12*L12)</x:f>
      </x:c>
      <x:c r="N12" s="56"/>
      <x:c r="O12" s="56"/>
      <x:c r="P12" s="56"/>
      <x:c r="Q12" s="55" t="str">
        <x:f>IF(A12="","",MAX(0,M12-N12+O12))</x:f>
      </x:c>
      <x:c r="R12" s="55" t="str">
        <x:f>IF(A12="","",I12*'المخزون'!$L$6+J12*'المخزون'!$L$7)</x:f>
      </x:c>
      <x:c r="S12" s="55" t="str">
        <x:f>IF(A12="","",Q12-R12-P12)</x:f>
      </x:c>
      <x:c r="T12" s="41"/>
      <x:c r="U12" s="41"/>
      <x:c r="V12" s="56"/>
      <x:c r="W12" s="55" t="str">
        <x:f>IF(A12="","",MAX(0,Q12-V12))</x:f>
      </x:c>
      <x:c r="X12" s="41"/>
      <x:c r="Y12" s="41"/>
      <x:c r="Z12" s="48"/>
      <x:c r="AA12" s="48"/>
      <x:c r="AB12" s="41"/>
      <x:c r="AC12" s="41"/>
      <x:c r="AD12" s="41"/>
      <x:c r="AE12" s="48"/>
      <x:c r="AF12" s="41"/>
      <x:c r="AG12" s="58" t="str">
        <x:f>IF(A12="","",IFERROR(VLOOKUP(A12,'الفيدباك'!$C$7:$G$206,5,FALSE),""))</x:f>
      </x:c>
      <x:c r="AH12" s="42" t="str">
        <x:f>IF(A12="","",IFERROR(VLOOKUP(A12,'الفيدباك'!$C$7:$L$206,10,FALSE),""))</x:f>
      </x:c>
      <x:c r="AI12" s="41"/>
      <x:c r="AJ12" s="42" t="str">
        <x:f>IF(A12="","",IF(A12="مثال-احذفه","صف توضيحي - احذفه قبل البدء",IF(X12="","حدّث حالة الطلب",IF(AND(X12&lt;&gt;"تم التوصيل",X12&lt;&gt;"ملغي",X12&lt;&gt;"مرتجع",Z12&lt;&gt;"",Z12&lt;TODAY()),"متأخر عن موعد التوصيل",IF(AND(X12="تم التوصيل",W12&gt;0),"حصّل المبلغ المتبقي",IF(AND(X12="تم التوصيل",AD12="موافق",OR(AF12="",AF12="لم يُطلب")),"ابعت لينك الفيدباك",IF(AND(AF12="تم إرسال الرابط",AE12&lt;&gt;"",TODAY()-AE12&gt;=3),"تابع الفيدباك","لا يوجد إجراء عاجل")))))))</x:f>
      </x:c>
    </x:row>
    <x:row r="13" ht="31" customHeight="1">
      <x:c r="A13" s="41"/>
      <x:c r="B13" s="46"/>
      <x:c r="C13" s="41"/>
      <x:c r="D13" s="41"/>
      <x:c r="E13" s="50"/>
      <x:c r="F13" s="41"/>
      <x:c r="G13" s="41"/>
      <x:c r="H13" s="41"/>
      <x:c r="I13" s="52"/>
      <x:c r="J13" s="52"/>
      <x:c r="K13" s="53" t="str">
        <x:f>IF(A13="","",I13+J13)</x:f>
      </x:c>
      <x:c r="L13" s="55" t="str">
        <x:f>IF(A13="","",IF(H13="عرض 2 بـ120",'القوائم والإعدادات'!$B$6/2,IF(H13="عينة",0,'القوائم والإعدادات'!$B$5)))</x:f>
      </x:c>
      <x:c r="M13" s="55" t="str">
        <x:f>IF(A13="","",K13*L13)</x:f>
      </x:c>
      <x:c r="N13" s="56"/>
      <x:c r="O13" s="56"/>
      <x:c r="P13" s="56"/>
      <x:c r="Q13" s="55" t="str">
        <x:f>IF(A13="","",MAX(0,M13-N13+O13))</x:f>
      </x:c>
      <x:c r="R13" s="55" t="str">
        <x:f>IF(A13="","",I13*'المخزون'!$L$6+J13*'المخزون'!$L$7)</x:f>
      </x:c>
      <x:c r="S13" s="55" t="str">
        <x:f>IF(A13="","",Q13-R13-P13)</x:f>
      </x:c>
      <x:c r="T13" s="41"/>
      <x:c r="U13" s="41"/>
      <x:c r="V13" s="56"/>
      <x:c r="W13" s="55" t="str">
        <x:f>IF(A13="","",MAX(0,Q13-V13))</x:f>
      </x:c>
      <x:c r="X13" s="41"/>
      <x:c r="Y13" s="41"/>
      <x:c r="Z13" s="48"/>
      <x:c r="AA13" s="48"/>
      <x:c r="AB13" s="41"/>
      <x:c r="AC13" s="41"/>
      <x:c r="AD13" s="41"/>
      <x:c r="AE13" s="48"/>
      <x:c r="AF13" s="41"/>
      <x:c r="AG13" s="58" t="str">
        <x:f>IF(A13="","",IFERROR(VLOOKUP(A13,'الفيدباك'!$C$7:$G$206,5,FALSE),""))</x:f>
      </x:c>
      <x:c r="AH13" s="42" t="str">
        <x:f>IF(A13="","",IFERROR(VLOOKUP(A13,'الفيدباك'!$C$7:$L$206,10,FALSE),""))</x:f>
      </x:c>
      <x:c r="AI13" s="41"/>
      <x:c r="AJ13" s="42" t="str">
        <x:f>IF(A13="","",IF(A13="مثال-احذفه","صف توضيحي - احذفه قبل البدء",IF(X13="","حدّث حالة الطلب",IF(AND(X13&lt;&gt;"تم التوصيل",X13&lt;&gt;"ملغي",X13&lt;&gt;"مرتجع",Z13&lt;&gt;"",Z13&lt;TODAY()),"متأخر عن موعد التوصيل",IF(AND(X13="تم التوصيل",W13&gt;0),"حصّل المبلغ المتبقي",IF(AND(X13="تم التوصيل",AD13="موافق",OR(AF13="",AF13="لم يُطلب")),"ابعت لينك الفيدباك",IF(AND(AF13="تم إرسال الرابط",AE13&lt;&gt;"",TODAY()-AE13&gt;=3),"تابع الفيدباك","لا يوجد إجراء عاجل")))))))</x:f>
      </x:c>
    </x:row>
    <x:row r="14" ht="31" customHeight="1">
      <x:c r="A14" s="41"/>
      <x:c r="B14" s="46"/>
      <x:c r="C14" s="41"/>
      <x:c r="D14" s="41"/>
      <x:c r="E14" s="50"/>
      <x:c r="F14" s="41"/>
      <x:c r="G14" s="41"/>
      <x:c r="H14" s="41"/>
      <x:c r="I14" s="52"/>
      <x:c r="J14" s="52"/>
      <x:c r="K14" s="53" t="str">
        <x:f>IF(A14="","",I14+J14)</x:f>
      </x:c>
      <x:c r="L14" s="55" t="str">
        <x:f>IF(A14="","",IF(H14="عرض 2 بـ120",'القوائم والإعدادات'!$B$6/2,IF(H14="عينة",0,'القوائم والإعدادات'!$B$5)))</x:f>
      </x:c>
      <x:c r="M14" s="55" t="str">
        <x:f>IF(A14="","",K14*L14)</x:f>
      </x:c>
      <x:c r="N14" s="56"/>
      <x:c r="O14" s="56"/>
      <x:c r="P14" s="56"/>
      <x:c r="Q14" s="55" t="str">
        <x:f>IF(A14="","",MAX(0,M14-N14+O14))</x:f>
      </x:c>
      <x:c r="R14" s="55" t="str">
        <x:f>IF(A14="","",I14*'المخزون'!$L$6+J14*'المخزون'!$L$7)</x:f>
      </x:c>
      <x:c r="S14" s="55" t="str">
        <x:f>IF(A14="","",Q14-R14-P14)</x:f>
      </x:c>
      <x:c r="T14" s="41"/>
      <x:c r="U14" s="41"/>
      <x:c r="V14" s="56"/>
      <x:c r="W14" s="55" t="str">
        <x:f>IF(A14="","",MAX(0,Q14-V14))</x:f>
      </x:c>
      <x:c r="X14" s="41"/>
      <x:c r="Y14" s="41"/>
      <x:c r="Z14" s="48"/>
      <x:c r="AA14" s="48"/>
      <x:c r="AB14" s="41"/>
      <x:c r="AC14" s="41"/>
      <x:c r="AD14" s="41"/>
      <x:c r="AE14" s="48"/>
      <x:c r="AF14" s="41"/>
      <x:c r="AG14" s="58" t="str">
        <x:f>IF(A14="","",IFERROR(VLOOKUP(A14,'الفيدباك'!$C$7:$G$206,5,FALSE),""))</x:f>
      </x:c>
      <x:c r="AH14" s="42" t="str">
        <x:f>IF(A14="","",IFERROR(VLOOKUP(A14,'الفيدباك'!$C$7:$L$206,10,FALSE),""))</x:f>
      </x:c>
      <x:c r="AI14" s="41"/>
      <x:c r="AJ14" s="42" t="str">
        <x:f>IF(A14="","",IF(A14="مثال-احذفه","صف توضيحي - احذفه قبل البدء",IF(X14="","حدّث حالة الطلب",IF(AND(X14&lt;&gt;"تم التوصيل",X14&lt;&gt;"ملغي",X14&lt;&gt;"مرتجع",Z14&lt;&gt;"",Z14&lt;TODAY()),"متأخر عن موعد التوصيل",IF(AND(X14="تم التوصيل",W14&gt;0),"حصّل المبلغ المتبقي",IF(AND(X14="تم التوصيل",AD14="موافق",OR(AF14="",AF14="لم يُطلب")),"ابعت لينك الفيدباك",IF(AND(AF14="تم إرسال الرابط",AE14&lt;&gt;"",TODAY()-AE14&gt;=3),"تابع الفيدباك","لا يوجد إجراء عاجل")))))))</x:f>
      </x:c>
    </x:row>
    <x:row r="15" ht="31" customHeight="1">
      <x:c r="A15" s="41"/>
      <x:c r="B15" s="46"/>
      <x:c r="C15" s="41"/>
      <x:c r="D15" s="41"/>
      <x:c r="E15" s="50"/>
      <x:c r="F15" s="41"/>
      <x:c r="G15" s="41"/>
      <x:c r="H15" s="41"/>
      <x:c r="I15" s="52"/>
      <x:c r="J15" s="52"/>
      <x:c r="K15" s="53" t="str">
        <x:f>IF(A15="","",I15+J15)</x:f>
      </x:c>
      <x:c r="L15" s="55" t="str">
        <x:f>IF(A15="","",IF(H15="عرض 2 بـ120",'القوائم والإعدادات'!$B$6/2,IF(H15="عينة",0,'القوائم والإعدادات'!$B$5)))</x:f>
      </x:c>
      <x:c r="M15" s="55" t="str">
        <x:f>IF(A15="","",K15*L15)</x:f>
      </x:c>
      <x:c r="N15" s="56"/>
      <x:c r="O15" s="56"/>
      <x:c r="P15" s="56"/>
      <x:c r="Q15" s="55" t="str">
        <x:f>IF(A15="","",MAX(0,M15-N15+O15))</x:f>
      </x:c>
      <x:c r="R15" s="55" t="str">
        <x:f>IF(A15="","",I15*'المخزون'!$L$6+J15*'المخزون'!$L$7)</x:f>
      </x:c>
      <x:c r="S15" s="55" t="str">
        <x:f>IF(A15="","",Q15-R15-P15)</x:f>
      </x:c>
      <x:c r="T15" s="41"/>
      <x:c r="U15" s="41"/>
      <x:c r="V15" s="56"/>
      <x:c r="W15" s="55" t="str">
        <x:f>IF(A15="","",MAX(0,Q15-V15))</x:f>
      </x:c>
      <x:c r="X15" s="41"/>
      <x:c r="Y15" s="41"/>
      <x:c r="Z15" s="48"/>
      <x:c r="AA15" s="48"/>
      <x:c r="AB15" s="41"/>
      <x:c r="AC15" s="41"/>
      <x:c r="AD15" s="41"/>
      <x:c r="AE15" s="48"/>
      <x:c r="AF15" s="41"/>
      <x:c r="AG15" s="58" t="str">
        <x:f>IF(A15="","",IFERROR(VLOOKUP(A15,'الفيدباك'!$C$7:$G$206,5,FALSE),""))</x:f>
      </x:c>
      <x:c r="AH15" s="42" t="str">
        <x:f>IF(A15="","",IFERROR(VLOOKUP(A15,'الفيدباك'!$C$7:$L$206,10,FALSE),""))</x:f>
      </x:c>
      <x:c r="AI15" s="41"/>
      <x:c r="AJ15" s="42" t="str">
        <x:f>IF(A15="","",IF(A15="مثال-احذفه","صف توضيحي - احذفه قبل البدء",IF(X15="","حدّث حالة الطلب",IF(AND(X15&lt;&gt;"تم التوصيل",X15&lt;&gt;"ملغي",X15&lt;&gt;"مرتجع",Z15&lt;&gt;"",Z15&lt;TODAY()),"متأخر عن موعد التوصيل",IF(AND(X15="تم التوصيل",W15&gt;0),"حصّل المبلغ المتبقي",IF(AND(X15="تم التوصيل",AD15="موافق",OR(AF15="",AF15="لم يُطلب")),"ابعت لينك الفيدباك",IF(AND(AF15="تم إرسال الرابط",AE15&lt;&gt;"",TODAY()-AE15&gt;=3),"تابع الفيدباك","لا يوجد إجراء عاجل")))))))</x:f>
      </x:c>
    </x:row>
    <x:row r="16" ht="31" customHeight="1">
      <x:c r="A16" s="41"/>
      <x:c r="B16" s="46"/>
      <x:c r="C16" s="41"/>
      <x:c r="D16" s="41"/>
      <x:c r="E16" s="50"/>
      <x:c r="F16" s="41"/>
      <x:c r="G16" s="41"/>
      <x:c r="H16" s="41"/>
      <x:c r="I16" s="52"/>
      <x:c r="J16" s="52"/>
      <x:c r="K16" s="53" t="str">
        <x:f>IF(A16="","",I16+J16)</x:f>
      </x:c>
      <x:c r="L16" s="55" t="str">
        <x:f>IF(A16="","",IF(H16="عرض 2 بـ120",'القوائم والإعدادات'!$B$6/2,IF(H16="عينة",0,'القوائم والإعدادات'!$B$5)))</x:f>
      </x:c>
      <x:c r="M16" s="55" t="str">
        <x:f>IF(A16="","",K16*L16)</x:f>
      </x:c>
      <x:c r="N16" s="56"/>
      <x:c r="O16" s="56"/>
      <x:c r="P16" s="56"/>
      <x:c r="Q16" s="55" t="str">
        <x:f>IF(A16="","",MAX(0,M16-N16+O16))</x:f>
      </x:c>
      <x:c r="R16" s="55" t="str">
        <x:f>IF(A16="","",I16*'المخزون'!$L$6+J16*'المخزون'!$L$7)</x:f>
      </x:c>
      <x:c r="S16" s="55" t="str">
        <x:f>IF(A16="","",Q16-R16-P16)</x:f>
      </x:c>
      <x:c r="T16" s="41"/>
      <x:c r="U16" s="41"/>
      <x:c r="V16" s="56"/>
      <x:c r="W16" s="55" t="str">
        <x:f>IF(A16="","",MAX(0,Q16-V16))</x:f>
      </x:c>
      <x:c r="X16" s="41"/>
      <x:c r="Y16" s="41"/>
      <x:c r="Z16" s="48"/>
      <x:c r="AA16" s="48"/>
      <x:c r="AB16" s="41"/>
      <x:c r="AC16" s="41"/>
      <x:c r="AD16" s="41"/>
      <x:c r="AE16" s="48"/>
      <x:c r="AF16" s="41"/>
      <x:c r="AG16" s="58" t="str">
        <x:f>IF(A16="","",IFERROR(VLOOKUP(A16,'الفيدباك'!$C$7:$G$206,5,FALSE),""))</x:f>
      </x:c>
      <x:c r="AH16" s="42" t="str">
        <x:f>IF(A16="","",IFERROR(VLOOKUP(A16,'الفيدباك'!$C$7:$L$206,10,FALSE),""))</x:f>
      </x:c>
      <x:c r="AI16" s="41"/>
      <x:c r="AJ16" s="42" t="str">
        <x:f>IF(A16="","",IF(A16="مثال-احذفه","صف توضيحي - احذفه قبل البدء",IF(X16="","حدّث حالة الطلب",IF(AND(X16&lt;&gt;"تم التوصيل",X16&lt;&gt;"ملغي",X16&lt;&gt;"مرتجع",Z16&lt;&gt;"",Z16&lt;TODAY()),"متأخر عن موعد التوصيل",IF(AND(X16="تم التوصيل",W16&gt;0),"حصّل المبلغ المتبقي",IF(AND(X16="تم التوصيل",AD16="موافق",OR(AF16="",AF16="لم يُطلب")),"ابعت لينك الفيدباك",IF(AND(AF16="تم إرسال الرابط",AE16&lt;&gt;"",TODAY()-AE16&gt;=3),"تابع الفيدباك","لا يوجد إجراء عاجل")))))))</x:f>
      </x:c>
    </x:row>
    <x:row r="17" ht="31" customHeight="1">
      <x:c r="A17" s="41"/>
      <x:c r="B17" s="46"/>
      <x:c r="C17" s="41"/>
      <x:c r="D17" s="41"/>
      <x:c r="E17" s="50"/>
      <x:c r="F17" s="41"/>
      <x:c r="G17" s="41"/>
      <x:c r="H17" s="41"/>
      <x:c r="I17" s="52"/>
      <x:c r="J17" s="52"/>
      <x:c r="K17" s="53" t="str">
        <x:f>IF(A17="","",I17+J17)</x:f>
      </x:c>
      <x:c r="L17" s="55" t="str">
        <x:f>IF(A17="","",IF(H17="عرض 2 بـ120",'القوائم والإعدادات'!$B$6/2,IF(H17="عينة",0,'القوائم والإعدادات'!$B$5)))</x:f>
      </x:c>
      <x:c r="M17" s="55" t="str">
        <x:f>IF(A17="","",K17*L17)</x:f>
      </x:c>
      <x:c r="N17" s="56"/>
      <x:c r="O17" s="56"/>
      <x:c r="P17" s="56"/>
      <x:c r="Q17" s="55" t="str">
        <x:f>IF(A17="","",MAX(0,M17-N17+O17))</x:f>
      </x:c>
      <x:c r="R17" s="55" t="str">
        <x:f>IF(A17="","",I17*'المخزون'!$L$6+J17*'المخزون'!$L$7)</x:f>
      </x:c>
      <x:c r="S17" s="55" t="str">
        <x:f>IF(A17="","",Q17-R17-P17)</x:f>
      </x:c>
      <x:c r="T17" s="41"/>
      <x:c r="U17" s="41"/>
      <x:c r="V17" s="56"/>
      <x:c r="W17" s="55" t="str">
        <x:f>IF(A17="","",MAX(0,Q17-V17))</x:f>
      </x:c>
      <x:c r="X17" s="41"/>
      <x:c r="Y17" s="41"/>
      <x:c r="Z17" s="48"/>
      <x:c r="AA17" s="48"/>
      <x:c r="AB17" s="41"/>
      <x:c r="AC17" s="41"/>
      <x:c r="AD17" s="41"/>
      <x:c r="AE17" s="48"/>
      <x:c r="AF17" s="41"/>
      <x:c r="AG17" s="58" t="str">
        <x:f>IF(A17="","",IFERROR(VLOOKUP(A17,'الفيدباك'!$C$7:$G$206,5,FALSE),""))</x:f>
      </x:c>
      <x:c r="AH17" s="42" t="str">
        <x:f>IF(A17="","",IFERROR(VLOOKUP(A17,'الفيدباك'!$C$7:$L$206,10,FALSE),""))</x:f>
      </x:c>
      <x:c r="AI17" s="41"/>
      <x:c r="AJ17" s="42" t="str">
        <x:f>IF(A17="","",IF(A17="مثال-احذفه","صف توضيحي - احذفه قبل البدء",IF(X17="","حدّث حالة الطلب",IF(AND(X17&lt;&gt;"تم التوصيل",X17&lt;&gt;"ملغي",X17&lt;&gt;"مرتجع",Z17&lt;&gt;"",Z17&lt;TODAY()),"متأخر عن موعد التوصيل",IF(AND(X17="تم التوصيل",W17&gt;0),"حصّل المبلغ المتبقي",IF(AND(X17="تم التوصيل",AD17="موافق",OR(AF17="",AF17="لم يُطلب")),"ابعت لينك الفيدباك",IF(AND(AF17="تم إرسال الرابط",AE17&lt;&gt;"",TODAY()-AE17&gt;=3),"تابع الفيدباك","لا يوجد إجراء عاجل")))))))</x:f>
      </x:c>
    </x:row>
    <x:row r="18" ht="31" customHeight="1">
      <x:c r="A18" s="41"/>
      <x:c r="B18" s="46"/>
      <x:c r="C18" s="41"/>
      <x:c r="D18" s="41"/>
      <x:c r="E18" s="50"/>
      <x:c r="F18" s="41"/>
      <x:c r="G18" s="41"/>
      <x:c r="H18" s="41"/>
      <x:c r="I18" s="52"/>
      <x:c r="J18" s="52"/>
      <x:c r="K18" s="53" t="str">
        <x:f>IF(A18="","",I18+J18)</x:f>
      </x:c>
      <x:c r="L18" s="55" t="str">
        <x:f>IF(A18="","",IF(H18="عرض 2 بـ120",'القوائم والإعدادات'!$B$6/2,IF(H18="عينة",0,'القوائم والإعدادات'!$B$5)))</x:f>
      </x:c>
      <x:c r="M18" s="55" t="str">
        <x:f>IF(A18="","",K18*L18)</x:f>
      </x:c>
      <x:c r="N18" s="56"/>
      <x:c r="O18" s="56"/>
      <x:c r="P18" s="56"/>
      <x:c r="Q18" s="55" t="str">
        <x:f>IF(A18="","",MAX(0,M18-N18+O18))</x:f>
      </x:c>
      <x:c r="R18" s="55" t="str">
        <x:f>IF(A18="","",I18*'المخزون'!$L$6+J18*'المخزون'!$L$7)</x:f>
      </x:c>
      <x:c r="S18" s="55" t="str">
        <x:f>IF(A18="","",Q18-R18-P18)</x:f>
      </x:c>
      <x:c r="T18" s="41"/>
      <x:c r="U18" s="41"/>
      <x:c r="V18" s="56"/>
      <x:c r="W18" s="55" t="str">
        <x:f>IF(A18="","",MAX(0,Q18-V18))</x:f>
      </x:c>
      <x:c r="X18" s="41"/>
      <x:c r="Y18" s="41"/>
      <x:c r="Z18" s="48"/>
      <x:c r="AA18" s="48"/>
      <x:c r="AB18" s="41"/>
      <x:c r="AC18" s="41"/>
      <x:c r="AD18" s="41"/>
      <x:c r="AE18" s="48"/>
      <x:c r="AF18" s="41"/>
      <x:c r="AG18" s="58" t="str">
        <x:f>IF(A18="","",IFERROR(VLOOKUP(A18,'الفيدباك'!$C$7:$G$206,5,FALSE),""))</x:f>
      </x:c>
      <x:c r="AH18" s="42" t="str">
        <x:f>IF(A18="","",IFERROR(VLOOKUP(A18,'الفيدباك'!$C$7:$L$206,10,FALSE),""))</x:f>
      </x:c>
      <x:c r="AI18" s="41"/>
      <x:c r="AJ18" s="42" t="str">
        <x:f>IF(A18="","",IF(A18="مثال-احذفه","صف توضيحي - احذفه قبل البدء",IF(X18="","حدّث حالة الطلب",IF(AND(X18&lt;&gt;"تم التوصيل",X18&lt;&gt;"ملغي",X18&lt;&gt;"مرتجع",Z18&lt;&gt;"",Z18&lt;TODAY()),"متأخر عن موعد التوصيل",IF(AND(X18="تم التوصيل",W18&gt;0),"حصّل المبلغ المتبقي",IF(AND(X18="تم التوصيل",AD18="موافق",OR(AF18="",AF18="لم يُطلب")),"ابعت لينك الفيدباك",IF(AND(AF18="تم إرسال الرابط",AE18&lt;&gt;"",TODAY()-AE18&gt;=3),"تابع الفيدباك","لا يوجد إجراء عاجل")))))))</x:f>
      </x:c>
    </x:row>
    <x:row r="19" ht="31" customHeight="1">
      <x:c r="A19" s="41"/>
      <x:c r="B19" s="46"/>
      <x:c r="C19" s="41"/>
      <x:c r="D19" s="41"/>
      <x:c r="E19" s="50"/>
      <x:c r="F19" s="41"/>
      <x:c r="G19" s="41"/>
      <x:c r="H19" s="41"/>
      <x:c r="I19" s="52"/>
      <x:c r="J19" s="52"/>
      <x:c r="K19" s="53" t="str">
        <x:f>IF(A19="","",I19+J19)</x:f>
      </x:c>
      <x:c r="L19" s="55" t="str">
        <x:f>IF(A19="","",IF(H19="عرض 2 بـ120",'القوائم والإعدادات'!$B$6/2,IF(H19="عينة",0,'القوائم والإعدادات'!$B$5)))</x:f>
      </x:c>
      <x:c r="M19" s="55" t="str">
        <x:f>IF(A19="","",K19*L19)</x:f>
      </x:c>
      <x:c r="N19" s="56"/>
      <x:c r="O19" s="56"/>
      <x:c r="P19" s="56"/>
      <x:c r="Q19" s="55" t="str">
        <x:f>IF(A19="","",MAX(0,M19-N19+O19))</x:f>
      </x:c>
      <x:c r="R19" s="55" t="str">
        <x:f>IF(A19="","",I19*'المخزون'!$L$6+J19*'المخزون'!$L$7)</x:f>
      </x:c>
      <x:c r="S19" s="55" t="str">
        <x:f>IF(A19="","",Q19-R19-P19)</x:f>
      </x:c>
      <x:c r="T19" s="41"/>
      <x:c r="U19" s="41"/>
      <x:c r="V19" s="56"/>
      <x:c r="W19" s="55" t="str">
        <x:f>IF(A19="","",MAX(0,Q19-V19))</x:f>
      </x:c>
      <x:c r="X19" s="41"/>
      <x:c r="Y19" s="41"/>
      <x:c r="Z19" s="48"/>
      <x:c r="AA19" s="48"/>
      <x:c r="AB19" s="41"/>
      <x:c r="AC19" s="41"/>
      <x:c r="AD19" s="41"/>
      <x:c r="AE19" s="48"/>
      <x:c r="AF19" s="41"/>
      <x:c r="AG19" s="58" t="str">
        <x:f>IF(A19="","",IFERROR(VLOOKUP(A19,'الفيدباك'!$C$7:$G$206,5,FALSE),""))</x:f>
      </x:c>
      <x:c r="AH19" s="42" t="str">
        <x:f>IF(A19="","",IFERROR(VLOOKUP(A19,'الفيدباك'!$C$7:$L$206,10,FALSE),""))</x:f>
      </x:c>
      <x:c r="AI19" s="41"/>
      <x:c r="AJ19" s="42" t="str">
        <x:f>IF(A19="","",IF(A19="مثال-احذفه","صف توضيحي - احذفه قبل البدء",IF(X19="","حدّث حالة الطلب",IF(AND(X19&lt;&gt;"تم التوصيل",X19&lt;&gt;"ملغي",X19&lt;&gt;"مرتجع",Z19&lt;&gt;"",Z19&lt;TODAY()),"متأخر عن موعد التوصيل",IF(AND(X19="تم التوصيل",W19&gt;0),"حصّل المبلغ المتبقي",IF(AND(X19="تم التوصيل",AD19="موافق",OR(AF19="",AF19="لم يُطلب")),"ابعت لينك الفيدباك",IF(AND(AF19="تم إرسال الرابط",AE19&lt;&gt;"",TODAY()-AE19&gt;=3),"تابع الفيدباك","لا يوجد إجراء عاجل")))))))</x:f>
      </x:c>
    </x:row>
    <x:row r="20" ht="31" customHeight="1">
      <x:c r="A20" s="41"/>
      <x:c r="B20" s="46"/>
      <x:c r="C20" s="41"/>
      <x:c r="D20" s="41"/>
      <x:c r="E20" s="50"/>
      <x:c r="F20" s="41"/>
      <x:c r="G20" s="41"/>
      <x:c r="H20" s="41"/>
      <x:c r="I20" s="52"/>
      <x:c r="J20" s="52"/>
      <x:c r="K20" s="53" t="str">
        <x:f>IF(A20="","",I20+J20)</x:f>
      </x:c>
      <x:c r="L20" s="55" t="str">
        <x:f>IF(A20="","",IF(H20="عرض 2 بـ120",'القوائم والإعدادات'!$B$6/2,IF(H20="عينة",0,'القوائم والإعدادات'!$B$5)))</x:f>
      </x:c>
      <x:c r="M20" s="55" t="str">
        <x:f>IF(A20="","",K20*L20)</x:f>
      </x:c>
      <x:c r="N20" s="56"/>
      <x:c r="O20" s="56"/>
      <x:c r="P20" s="56"/>
      <x:c r="Q20" s="55" t="str">
        <x:f>IF(A20="","",MAX(0,M20-N20+O20))</x:f>
      </x:c>
      <x:c r="R20" s="55" t="str">
        <x:f>IF(A20="","",I20*'المخزون'!$L$6+J20*'المخزون'!$L$7)</x:f>
      </x:c>
      <x:c r="S20" s="55" t="str">
        <x:f>IF(A20="","",Q20-R20-P20)</x:f>
      </x:c>
      <x:c r="T20" s="41"/>
      <x:c r="U20" s="41"/>
      <x:c r="V20" s="56"/>
      <x:c r="W20" s="55" t="str">
        <x:f>IF(A20="","",MAX(0,Q20-V20))</x:f>
      </x:c>
      <x:c r="X20" s="41"/>
      <x:c r="Y20" s="41"/>
      <x:c r="Z20" s="48"/>
      <x:c r="AA20" s="48"/>
      <x:c r="AB20" s="41"/>
      <x:c r="AC20" s="41"/>
      <x:c r="AD20" s="41"/>
      <x:c r="AE20" s="48"/>
      <x:c r="AF20" s="41"/>
      <x:c r="AG20" s="58" t="str">
        <x:f>IF(A20="","",IFERROR(VLOOKUP(A20,'الفيدباك'!$C$7:$G$206,5,FALSE),""))</x:f>
      </x:c>
      <x:c r="AH20" s="42" t="str">
        <x:f>IF(A20="","",IFERROR(VLOOKUP(A20,'الفيدباك'!$C$7:$L$206,10,FALSE),""))</x:f>
      </x:c>
      <x:c r="AI20" s="41"/>
      <x:c r="AJ20" s="42" t="str">
        <x:f>IF(A20="","",IF(A20="مثال-احذفه","صف توضيحي - احذفه قبل البدء",IF(X20="","حدّث حالة الطلب",IF(AND(X20&lt;&gt;"تم التوصيل",X20&lt;&gt;"ملغي",X20&lt;&gt;"مرتجع",Z20&lt;&gt;"",Z20&lt;TODAY()),"متأخر عن موعد التوصيل",IF(AND(X20="تم التوصيل",W20&gt;0),"حصّل المبلغ المتبقي",IF(AND(X20="تم التوصيل",AD20="موافق",OR(AF20="",AF20="لم يُطلب")),"ابعت لينك الفيدباك",IF(AND(AF20="تم إرسال الرابط",AE20&lt;&gt;"",TODAY()-AE20&gt;=3),"تابع الفيدباك","لا يوجد إجراء عاجل")))))))</x:f>
      </x:c>
    </x:row>
    <x:row r="21" ht="31" customHeight="1">
      <x:c r="A21" s="41"/>
      <x:c r="B21" s="46"/>
      <x:c r="C21" s="41"/>
      <x:c r="D21" s="41"/>
      <x:c r="E21" s="50"/>
      <x:c r="F21" s="41"/>
      <x:c r="G21" s="41"/>
      <x:c r="H21" s="41"/>
      <x:c r="I21" s="52"/>
      <x:c r="J21" s="52"/>
      <x:c r="K21" s="53" t="str">
        <x:f>IF(A21="","",I21+J21)</x:f>
      </x:c>
      <x:c r="L21" s="55" t="str">
        <x:f>IF(A21="","",IF(H21="عرض 2 بـ120",'القوائم والإعدادات'!$B$6/2,IF(H21="عينة",0,'القوائم والإعدادات'!$B$5)))</x:f>
      </x:c>
      <x:c r="M21" s="55" t="str">
        <x:f>IF(A21="","",K21*L21)</x:f>
      </x:c>
      <x:c r="N21" s="56"/>
      <x:c r="O21" s="56"/>
      <x:c r="P21" s="56"/>
      <x:c r="Q21" s="55" t="str">
        <x:f>IF(A21="","",MAX(0,M21-N21+O21))</x:f>
      </x:c>
      <x:c r="R21" s="55" t="str">
        <x:f>IF(A21="","",I21*'المخزون'!$L$6+J21*'المخزون'!$L$7)</x:f>
      </x:c>
      <x:c r="S21" s="55" t="str">
        <x:f>IF(A21="","",Q21-R21-P21)</x:f>
      </x:c>
      <x:c r="T21" s="41"/>
      <x:c r="U21" s="41"/>
      <x:c r="V21" s="56"/>
      <x:c r="W21" s="55" t="str">
        <x:f>IF(A21="","",MAX(0,Q21-V21))</x:f>
      </x:c>
      <x:c r="X21" s="41"/>
      <x:c r="Y21" s="41"/>
      <x:c r="Z21" s="48"/>
      <x:c r="AA21" s="48"/>
      <x:c r="AB21" s="41"/>
      <x:c r="AC21" s="41"/>
      <x:c r="AD21" s="41"/>
      <x:c r="AE21" s="48"/>
      <x:c r="AF21" s="41"/>
      <x:c r="AG21" s="58" t="str">
        <x:f>IF(A21="","",IFERROR(VLOOKUP(A21,'الفيدباك'!$C$7:$G$206,5,FALSE),""))</x:f>
      </x:c>
      <x:c r="AH21" s="42" t="str">
        <x:f>IF(A21="","",IFERROR(VLOOKUP(A21,'الفيدباك'!$C$7:$L$206,10,FALSE),""))</x:f>
      </x:c>
      <x:c r="AI21" s="41"/>
      <x:c r="AJ21" s="42" t="str">
        <x:f>IF(A21="","",IF(A21="مثال-احذفه","صف توضيحي - احذفه قبل البدء",IF(X21="","حدّث حالة الطلب",IF(AND(X21&lt;&gt;"تم التوصيل",X21&lt;&gt;"ملغي",X21&lt;&gt;"مرتجع",Z21&lt;&gt;"",Z21&lt;TODAY()),"متأخر عن موعد التوصيل",IF(AND(X21="تم التوصيل",W21&gt;0),"حصّل المبلغ المتبقي",IF(AND(X21="تم التوصيل",AD21="موافق",OR(AF21="",AF21="لم يُطلب")),"ابعت لينك الفيدباك",IF(AND(AF21="تم إرسال الرابط",AE21&lt;&gt;"",TODAY()-AE21&gt;=3),"تابع الفيدباك","لا يوجد إجراء عاجل")))))))</x:f>
      </x:c>
    </x:row>
    <x:row r="22" ht="31" customHeight="1">
      <x:c r="A22" s="41"/>
      <x:c r="B22" s="46"/>
      <x:c r="C22" s="41"/>
      <x:c r="D22" s="41"/>
      <x:c r="E22" s="50"/>
      <x:c r="F22" s="41"/>
      <x:c r="G22" s="41"/>
      <x:c r="H22" s="41"/>
      <x:c r="I22" s="52"/>
      <x:c r="J22" s="52"/>
      <x:c r="K22" s="53" t="str">
        <x:f>IF(A22="","",I22+J22)</x:f>
      </x:c>
      <x:c r="L22" s="55" t="str">
        <x:f>IF(A22="","",IF(H22="عرض 2 بـ120",'القوائم والإعدادات'!$B$6/2,IF(H22="عينة",0,'القوائم والإعدادات'!$B$5)))</x:f>
      </x:c>
      <x:c r="M22" s="55" t="str">
        <x:f>IF(A22="","",K22*L22)</x:f>
      </x:c>
      <x:c r="N22" s="56"/>
      <x:c r="O22" s="56"/>
      <x:c r="P22" s="56"/>
      <x:c r="Q22" s="55" t="str">
        <x:f>IF(A22="","",MAX(0,M22-N22+O22))</x:f>
      </x:c>
      <x:c r="R22" s="55" t="str">
        <x:f>IF(A22="","",I22*'المخزون'!$L$6+J22*'المخزون'!$L$7)</x:f>
      </x:c>
      <x:c r="S22" s="55" t="str">
        <x:f>IF(A22="","",Q22-R22-P22)</x:f>
      </x:c>
      <x:c r="T22" s="41"/>
      <x:c r="U22" s="41"/>
      <x:c r="V22" s="56"/>
      <x:c r="W22" s="55" t="str">
        <x:f>IF(A22="","",MAX(0,Q22-V22))</x:f>
      </x:c>
      <x:c r="X22" s="41"/>
      <x:c r="Y22" s="41"/>
      <x:c r="Z22" s="48"/>
      <x:c r="AA22" s="48"/>
      <x:c r="AB22" s="41"/>
      <x:c r="AC22" s="41"/>
      <x:c r="AD22" s="41"/>
      <x:c r="AE22" s="48"/>
      <x:c r="AF22" s="41"/>
      <x:c r="AG22" s="58" t="str">
        <x:f>IF(A22="","",IFERROR(VLOOKUP(A22,'الفيدباك'!$C$7:$G$206,5,FALSE),""))</x:f>
      </x:c>
      <x:c r="AH22" s="42" t="str">
        <x:f>IF(A22="","",IFERROR(VLOOKUP(A22,'الفيدباك'!$C$7:$L$206,10,FALSE),""))</x:f>
      </x:c>
      <x:c r="AI22" s="41"/>
      <x:c r="AJ22" s="42" t="str">
        <x:f>IF(A22="","",IF(A22="مثال-احذفه","صف توضيحي - احذفه قبل البدء",IF(X22="","حدّث حالة الطلب",IF(AND(X22&lt;&gt;"تم التوصيل",X22&lt;&gt;"ملغي",X22&lt;&gt;"مرتجع",Z22&lt;&gt;"",Z22&lt;TODAY()),"متأخر عن موعد التوصيل",IF(AND(X22="تم التوصيل",W22&gt;0),"حصّل المبلغ المتبقي",IF(AND(X22="تم التوصيل",AD22="موافق",OR(AF22="",AF22="لم يُطلب")),"ابعت لينك الفيدباك",IF(AND(AF22="تم إرسال الرابط",AE22&lt;&gt;"",TODAY()-AE22&gt;=3),"تابع الفيدباك","لا يوجد إجراء عاجل")))))))</x:f>
      </x:c>
    </x:row>
    <x:row r="23" ht="31" customHeight="1">
      <x:c r="A23" s="41"/>
      <x:c r="B23" s="46"/>
      <x:c r="C23" s="41"/>
      <x:c r="D23" s="41"/>
      <x:c r="E23" s="50"/>
      <x:c r="F23" s="41"/>
      <x:c r="G23" s="41"/>
      <x:c r="H23" s="41"/>
      <x:c r="I23" s="52"/>
      <x:c r="J23" s="52"/>
      <x:c r="K23" s="53" t="str">
        <x:f>IF(A23="","",I23+J23)</x:f>
      </x:c>
      <x:c r="L23" s="55" t="str">
        <x:f>IF(A23="","",IF(H23="عرض 2 بـ120",'القوائم والإعدادات'!$B$6/2,IF(H23="عينة",0,'القوائم والإعدادات'!$B$5)))</x:f>
      </x:c>
      <x:c r="M23" s="55" t="str">
        <x:f>IF(A23="","",K23*L23)</x:f>
      </x:c>
      <x:c r="N23" s="56"/>
      <x:c r="O23" s="56"/>
      <x:c r="P23" s="56"/>
      <x:c r="Q23" s="55" t="str">
        <x:f>IF(A23="","",MAX(0,M23-N23+O23))</x:f>
      </x:c>
      <x:c r="R23" s="55" t="str">
        <x:f>IF(A23="","",I23*'المخزون'!$L$6+J23*'المخزون'!$L$7)</x:f>
      </x:c>
      <x:c r="S23" s="55" t="str">
        <x:f>IF(A23="","",Q23-R23-P23)</x:f>
      </x:c>
      <x:c r="T23" s="41"/>
      <x:c r="U23" s="41"/>
      <x:c r="V23" s="56"/>
      <x:c r="W23" s="55" t="str">
        <x:f>IF(A23="","",MAX(0,Q23-V23))</x:f>
      </x:c>
      <x:c r="X23" s="41"/>
      <x:c r="Y23" s="41"/>
      <x:c r="Z23" s="48"/>
      <x:c r="AA23" s="48"/>
      <x:c r="AB23" s="41"/>
      <x:c r="AC23" s="41"/>
      <x:c r="AD23" s="41"/>
      <x:c r="AE23" s="48"/>
      <x:c r="AF23" s="41"/>
      <x:c r="AG23" s="58" t="str">
        <x:f>IF(A23="","",IFERROR(VLOOKUP(A23,'الفيدباك'!$C$7:$G$206,5,FALSE),""))</x:f>
      </x:c>
      <x:c r="AH23" s="42" t="str">
        <x:f>IF(A23="","",IFERROR(VLOOKUP(A23,'الفيدباك'!$C$7:$L$206,10,FALSE),""))</x:f>
      </x:c>
      <x:c r="AI23" s="41"/>
      <x:c r="AJ23" s="42" t="str">
        <x:f>IF(A23="","",IF(A23="مثال-احذفه","صف توضيحي - احذفه قبل البدء",IF(X23="","حدّث حالة الطلب",IF(AND(X23&lt;&gt;"تم التوصيل",X23&lt;&gt;"ملغي",X23&lt;&gt;"مرتجع",Z23&lt;&gt;"",Z23&lt;TODAY()),"متأخر عن موعد التوصيل",IF(AND(X23="تم التوصيل",W23&gt;0),"حصّل المبلغ المتبقي",IF(AND(X23="تم التوصيل",AD23="موافق",OR(AF23="",AF23="لم يُطلب")),"ابعت لينك الفيدباك",IF(AND(AF23="تم إرسال الرابط",AE23&lt;&gt;"",TODAY()-AE23&gt;=3),"تابع الفيدباك","لا يوجد إجراء عاجل")))))))</x:f>
      </x:c>
    </x:row>
    <x:row r="24" ht="31" customHeight="1">
      <x:c r="A24" s="41"/>
      <x:c r="B24" s="46"/>
      <x:c r="C24" s="41"/>
      <x:c r="D24" s="41"/>
      <x:c r="E24" s="50"/>
      <x:c r="F24" s="41"/>
      <x:c r="G24" s="41"/>
      <x:c r="H24" s="41"/>
      <x:c r="I24" s="52"/>
      <x:c r="J24" s="52"/>
      <x:c r="K24" s="53" t="str">
        <x:f>IF(A24="","",I24+J24)</x:f>
      </x:c>
      <x:c r="L24" s="55" t="str">
        <x:f>IF(A24="","",IF(H24="عرض 2 بـ120",'القوائم والإعدادات'!$B$6/2,IF(H24="عينة",0,'القوائم والإعدادات'!$B$5)))</x:f>
      </x:c>
      <x:c r="M24" s="55" t="str">
        <x:f>IF(A24="","",K24*L24)</x:f>
      </x:c>
      <x:c r="N24" s="56"/>
      <x:c r="O24" s="56"/>
      <x:c r="P24" s="56"/>
      <x:c r="Q24" s="55" t="str">
        <x:f>IF(A24="","",MAX(0,M24-N24+O24))</x:f>
      </x:c>
      <x:c r="R24" s="55" t="str">
        <x:f>IF(A24="","",I24*'المخزون'!$L$6+J24*'المخزون'!$L$7)</x:f>
      </x:c>
      <x:c r="S24" s="55" t="str">
        <x:f>IF(A24="","",Q24-R24-P24)</x:f>
      </x:c>
      <x:c r="T24" s="41"/>
      <x:c r="U24" s="41"/>
      <x:c r="V24" s="56"/>
      <x:c r="W24" s="55" t="str">
        <x:f>IF(A24="","",MAX(0,Q24-V24))</x:f>
      </x:c>
      <x:c r="X24" s="41"/>
      <x:c r="Y24" s="41"/>
      <x:c r="Z24" s="48"/>
      <x:c r="AA24" s="48"/>
      <x:c r="AB24" s="41"/>
      <x:c r="AC24" s="41"/>
      <x:c r="AD24" s="41"/>
      <x:c r="AE24" s="48"/>
      <x:c r="AF24" s="41"/>
      <x:c r="AG24" s="58" t="str">
        <x:f>IF(A24="","",IFERROR(VLOOKUP(A24,'الفيدباك'!$C$7:$G$206,5,FALSE),""))</x:f>
      </x:c>
      <x:c r="AH24" s="42" t="str">
        <x:f>IF(A24="","",IFERROR(VLOOKUP(A24,'الفيدباك'!$C$7:$L$206,10,FALSE),""))</x:f>
      </x:c>
      <x:c r="AI24" s="41"/>
      <x:c r="AJ24" s="42" t="str">
        <x:f>IF(A24="","",IF(A24="مثال-احذفه","صف توضيحي - احذفه قبل البدء",IF(X24="","حدّث حالة الطلب",IF(AND(X24&lt;&gt;"تم التوصيل",X24&lt;&gt;"ملغي",X24&lt;&gt;"مرتجع",Z24&lt;&gt;"",Z24&lt;TODAY()),"متأخر عن موعد التوصيل",IF(AND(X24="تم التوصيل",W24&gt;0),"حصّل المبلغ المتبقي",IF(AND(X24="تم التوصيل",AD24="موافق",OR(AF24="",AF24="لم يُطلب")),"ابعت لينك الفيدباك",IF(AND(AF24="تم إرسال الرابط",AE24&lt;&gt;"",TODAY()-AE24&gt;=3),"تابع الفيدباك","لا يوجد إجراء عاجل")))))))</x:f>
      </x:c>
    </x:row>
    <x:row r="25" ht="31" customHeight="1">
      <x:c r="A25" s="41"/>
      <x:c r="B25" s="46"/>
      <x:c r="C25" s="41"/>
      <x:c r="D25" s="41"/>
      <x:c r="E25" s="50"/>
      <x:c r="F25" s="41"/>
      <x:c r="G25" s="41"/>
      <x:c r="H25" s="41"/>
      <x:c r="I25" s="52"/>
      <x:c r="J25" s="52"/>
      <x:c r="K25" s="53" t="str">
        <x:f>IF(A25="","",I25+J25)</x:f>
      </x:c>
      <x:c r="L25" s="55" t="str">
        <x:f>IF(A25="","",IF(H25="عرض 2 بـ120",'القوائم والإعدادات'!$B$6/2,IF(H25="عينة",0,'القوائم والإعدادات'!$B$5)))</x:f>
      </x:c>
      <x:c r="M25" s="55" t="str">
        <x:f>IF(A25="","",K25*L25)</x:f>
      </x:c>
      <x:c r="N25" s="56"/>
      <x:c r="O25" s="56"/>
      <x:c r="P25" s="56"/>
      <x:c r="Q25" s="55" t="str">
        <x:f>IF(A25="","",MAX(0,M25-N25+O25))</x:f>
      </x:c>
      <x:c r="R25" s="55" t="str">
        <x:f>IF(A25="","",I25*'المخزون'!$L$6+J25*'المخزون'!$L$7)</x:f>
      </x:c>
      <x:c r="S25" s="55" t="str">
        <x:f>IF(A25="","",Q25-R25-P25)</x:f>
      </x:c>
      <x:c r="T25" s="41"/>
      <x:c r="U25" s="41"/>
      <x:c r="V25" s="56"/>
      <x:c r="W25" s="55" t="str">
        <x:f>IF(A25="","",MAX(0,Q25-V25))</x:f>
      </x:c>
      <x:c r="X25" s="41"/>
      <x:c r="Y25" s="41"/>
      <x:c r="Z25" s="48"/>
      <x:c r="AA25" s="48"/>
      <x:c r="AB25" s="41"/>
      <x:c r="AC25" s="41"/>
      <x:c r="AD25" s="41"/>
      <x:c r="AE25" s="48"/>
      <x:c r="AF25" s="41"/>
      <x:c r="AG25" s="58" t="str">
        <x:f>IF(A25="","",IFERROR(VLOOKUP(A25,'الفيدباك'!$C$7:$G$206,5,FALSE),""))</x:f>
      </x:c>
      <x:c r="AH25" s="42" t="str">
        <x:f>IF(A25="","",IFERROR(VLOOKUP(A25,'الفيدباك'!$C$7:$L$206,10,FALSE),""))</x:f>
      </x:c>
      <x:c r="AI25" s="41"/>
      <x:c r="AJ25" s="42" t="str">
        <x:f>IF(A25="","",IF(A25="مثال-احذفه","صف توضيحي - احذفه قبل البدء",IF(X25="","حدّث حالة الطلب",IF(AND(X25&lt;&gt;"تم التوصيل",X25&lt;&gt;"ملغي",X25&lt;&gt;"مرتجع",Z25&lt;&gt;"",Z25&lt;TODAY()),"متأخر عن موعد التوصيل",IF(AND(X25="تم التوصيل",W25&gt;0),"حصّل المبلغ المتبقي",IF(AND(X25="تم التوصيل",AD25="موافق",OR(AF25="",AF25="لم يُطلب")),"ابعت لينك الفيدباك",IF(AND(AF25="تم إرسال الرابط",AE25&lt;&gt;"",TODAY()-AE25&gt;=3),"تابع الفيدباك","لا يوجد إجراء عاجل")))))))</x:f>
      </x:c>
    </x:row>
    <x:row r="26" ht="31" customHeight="1">
      <x:c r="A26" s="41"/>
      <x:c r="B26" s="46"/>
      <x:c r="C26" s="41"/>
      <x:c r="D26" s="41"/>
      <x:c r="E26" s="50"/>
      <x:c r="F26" s="41"/>
      <x:c r="G26" s="41"/>
      <x:c r="H26" s="41"/>
      <x:c r="I26" s="52"/>
      <x:c r="J26" s="52"/>
      <x:c r="K26" s="53" t="str">
        <x:f>IF(A26="","",I26+J26)</x:f>
      </x:c>
      <x:c r="L26" s="55" t="str">
        <x:f>IF(A26="","",IF(H26="عرض 2 بـ120",'القوائم والإعدادات'!$B$6/2,IF(H26="عينة",0,'القوائم والإعدادات'!$B$5)))</x:f>
      </x:c>
      <x:c r="M26" s="55" t="str">
        <x:f>IF(A26="","",K26*L26)</x:f>
      </x:c>
      <x:c r="N26" s="56"/>
      <x:c r="O26" s="56"/>
      <x:c r="P26" s="56"/>
      <x:c r="Q26" s="55" t="str">
        <x:f>IF(A26="","",MAX(0,M26-N26+O26))</x:f>
      </x:c>
      <x:c r="R26" s="55" t="str">
        <x:f>IF(A26="","",I26*'المخزون'!$L$6+J26*'المخزون'!$L$7)</x:f>
      </x:c>
      <x:c r="S26" s="55" t="str">
        <x:f>IF(A26="","",Q26-R26-P26)</x:f>
      </x:c>
      <x:c r="T26" s="41"/>
      <x:c r="U26" s="41"/>
      <x:c r="V26" s="56"/>
      <x:c r="W26" s="55" t="str">
        <x:f>IF(A26="","",MAX(0,Q26-V26))</x:f>
      </x:c>
      <x:c r="X26" s="41"/>
      <x:c r="Y26" s="41"/>
      <x:c r="Z26" s="48"/>
      <x:c r="AA26" s="48"/>
      <x:c r="AB26" s="41"/>
      <x:c r="AC26" s="41"/>
      <x:c r="AD26" s="41"/>
      <x:c r="AE26" s="48"/>
      <x:c r="AF26" s="41"/>
      <x:c r="AG26" s="58" t="str">
        <x:f>IF(A26="","",IFERROR(VLOOKUP(A26,'الفيدباك'!$C$7:$G$206,5,FALSE),""))</x:f>
      </x:c>
      <x:c r="AH26" s="42" t="str">
        <x:f>IF(A26="","",IFERROR(VLOOKUP(A26,'الفيدباك'!$C$7:$L$206,10,FALSE),""))</x:f>
      </x:c>
      <x:c r="AI26" s="41"/>
      <x:c r="AJ26" s="42" t="str">
        <x:f>IF(A26="","",IF(A26="مثال-احذفه","صف توضيحي - احذفه قبل البدء",IF(X26="","حدّث حالة الطلب",IF(AND(X26&lt;&gt;"تم التوصيل",X26&lt;&gt;"ملغي",X26&lt;&gt;"مرتجع",Z26&lt;&gt;"",Z26&lt;TODAY()),"متأخر عن موعد التوصيل",IF(AND(X26="تم التوصيل",W26&gt;0),"حصّل المبلغ المتبقي",IF(AND(X26="تم التوصيل",AD26="موافق",OR(AF26="",AF26="لم يُطلب")),"ابعت لينك الفيدباك",IF(AND(AF26="تم إرسال الرابط",AE26&lt;&gt;"",TODAY()-AE26&gt;=3),"تابع الفيدباك","لا يوجد إجراء عاجل")))))))</x:f>
      </x:c>
    </x:row>
    <x:row r="27" ht="31" customHeight="1">
      <x:c r="A27" s="41"/>
      <x:c r="B27" s="46"/>
      <x:c r="C27" s="41"/>
      <x:c r="D27" s="41"/>
      <x:c r="E27" s="50"/>
      <x:c r="F27" s="41"/>
      <x:c r="G27" s="41"/>
      <x:c r="H27" s="41"/>
      <x:c r="I27" s="52"/>
      <x:c r="J27" s="52"/>
      <x:c r="K27" s="53" t="str">
        <x:f>IF(A27="","",I27+J27)</x:f>
      </x:c>
      <x:c r="L27" s="55" t="str">
        <x:f>IF(A27="","",IF(H27="عرض 2 بـ120",'القوائم والإعدادات'!$B$6/2,IF(H27="عينة",0,'القوائم والإعدادات'!$B$5)))</x:f>
      </x:c>
      <x:c r="M27" s="55" t="str">
        <x:f>IF(A27="","",K27*L27)</x:f>
      </x:c>
      <x:c r="N27" s="56"/>
      <x:c r="O27" s="56"/>
      <x:c r="P27" s="56"/>
      <x:c r="Q27" s="55" t="str">
        <x:f>IF(A27="","",MAX(0,M27-N27+O27))</x:f>
      </x:c>
      <x:c r="R27" s="55" t="str">
        <x:f>IF(A27="","",I27*'المخزون'!$L$6+J27*'المخزون'!$L$7)</x:f>
      </x:c>
      <x:c r="S27" s="55" t="str">
        <x:f>IF(A27="","",Q27-R27-P27)</x:f>
      </x:c>
      <x:c r="T27" s="41"/>
      <x:c r="U27" s="41"/>
      <x:c r="V27" s="56"/>
      <x:c r="W27" s="55" t="str">
        <x:f>IF(A27="","",MAX(0,Q27-V27))</x:f>
      </x:c>
      <x:c r="X27" s="41"/>
      <x:c r="Y27" s="41"/>
      <x:c r="Z27" s="48"/>
      <x:c r="AA27" s="48"/>
      <x:c r="AB27" s="41"/>
      <x:c r="AC27" s="41"/>
      <x:c r="AD27" s="41"/>
      <x:c r="AE27" s="48"/>
      <x:c r="AF27" s="41"/>
      <x:c r="AG27" s="58" t="str">
        <x:f>IF(A27="","",IFERROR(VLOOKUP(A27,'الفيدباك'!$C$7:$G$206,5,FALSE),""))</x:f>
      </x:c>
      <x:c r="AH27" s="42" t="str">
        <x:f>IF(A27="","",IFERROR(VLOOKUP(A27,'الفيدباك'!$C$7:$L$206,10,FALSE),""))</x:f>
      </x:c>
      <x:c r="AI27" s="41"/>
      <x:c r="AJ27" s="42" t="str">
        <x:f>IF(A27="","",IF(A27="مثال-احذفه","صف توضيحي - احذفه قبل البدء",IF(X27="","حدّث حالة الطلب",IF(AND(X27&lt;&gt;"تم التوصيل",X27&lt;&gt;"ملغي",X27&lt;&gt;"مرتجع",Z27&lt;&gt;"",Z27&lt;TODAY()),"متأخر عن موعد التوصيل",IF(AND(X27="تم التوصيل",W27&gt;0),"حصّل المبلغ المتبقي",IF(AND(X27="تم التوصيل",AD27="موافق",OR(AF27="",AF27="لم يُطلب")),"ابعت لينك الفيدباك",IF(AND(AF27="تم إرسال الرابط",AE27&lt;&gt;"",TODAY()-AE27&gt;=3),"تابع الفيدباك","لا يوجد إجراء عاجل")))))))</x:f>
      </x:c>
    </x:row>
    <x:row r="28" ht="31" customHeight="1">
      <x:c r="A28" s="41"/>
      <x:c r="B28" s="46"/>
      <x:c r="C28" s="41"/>
      <x:c r="D28" s="41"/>
      <x:c r="E28" s="50"/>
      <x:c r="F28" s="41"/>
      <x:c r="G28" s="41"/>
      <x:c r="H28" s="41"/>
      <x:c r="I28" s="52"/>
      <x:c r="J28" s="52"/>
      <x:c r="K28" s="53" t="str">
        <x:f>IF(A28="","",I28+J28)</x:f>
      </x:c>
      <x:c r="L28" s="55" t="str">
        <x:f>IF(A28="","",IF(H28="عرض 2 بـ120",'القوائم والإعدادات'!$B$6/2,IF(H28="عينة",0,'القوائم والإعدادات'!$B$5)))</x:f>
      </x:c>
      <x:c r="M28" s="55" t="str">
        <x:f>IF(A28="","",K28*L28)</x:f>
      </x:c>
      <x:c r="N28" s="56"/>
      <x:c r="O28" s="56"/>
      <x:c r="P28" s="56"/>
      <x:c r="Q28" s="55" t="str">
        <x:f>IF(A28="","",MAX(0,M28-N28+O28))</x:f>
      </x:c>
      <x:c r="R28" s="55" t="str">
        <x:f>IF(A28="","",I28*'المخزون'!$L$6+J28*'المخزون'!$L$7)</x:f>
      </x:c>
      <x:c r="S28" s="55" t="str">
        <x:f>IF(A28="","",Q28-R28-P28)</x:f>
      </x:c>
      <x:c r="T28" s="41"/>
      <x:c r="U28" s="41"/>
      <x:c r="V28" s="56"/>
      <x:c r="W28" s="55" t="str">
        <x:f>IF(A28="","",MAX(0,Q28-V28))</x:f>
      </x:c>
      <x:c r="X28" s="41"/>
      <x:c r="Y28" s="41"/>
      <x:c r="Z28" s="48"/>
      <x:c r="AA28" s="48"/>
      <x:c r="AB28" s="41"/>
      <x:c r="AC28" s="41"/>
      <x:c r="AD28" s="41"/>
      <x:c r="AE28" s="48"/>
      <x:c r="AF28" s="41"/>
      <x:c r="AG28" s="58" t="str">
        <x:f>IF(A28="","",IFERROR(VLOOKUP(A28,'الفيدباك'!$C$7:$G$206,5,FALSE),""))</x:f>
      </x:c>
      <x:c r="AH28" s="42" t="str">
        <x:f>IF(A28="","",IFERROR(VLOOKUP(A28,'الفيدباك'!$C$7:$L$206,10,FALSE),""))</x:f>
      </x:c>
      <x:c r="AI28" s="41"/>
      <x:c r="AJ28" s="42" t="str">
        <x:f>IF(A28="","",IF(A28="مثال-احذفه","صف توضيحي - احذفه قبل البدء",IF(X28="","حدّث حالة الطلب",IF(AND(X28&lt;&gt;"تم التوصيل",X28&lt;&gt;"ملغي",X28&lt;&gt;"مرتجع",Z28&lt;&gt;"",Z28&lt;TODAY()),"متأخر عن موعد التوصيل",IF(AND(X28="تم التوصيل",W28&gt;0),"حصّل المبلغ المتبقي",IF(AND(X28="تم التوصيل",AD28="موافق",OR(AF28="",AF28="لم يُطلب")),"ابعت لينك الفيدباك",IF(AND(AF28="تم إرسال الرابط",AE28&lt;&gt;"",TODAY()-AE28&gt;=3),"تابع الفيدباك","لا يوجد إجراء عاجل")))))))</x:f>
      </x:c>
    </x:row>
    <x:row r="29" ht="31" customHeight="1">
      <x:c r="A29" s="41"/>
      <x:c r="B29" s="46"/>
      <x:c r="C29" s="41"/>
      <x:c r="D29" s="41"/>
      <x:c r="E29" s="50"/>
      <x:c r="F29" s="41"/>
      <x:c r="G29" s="41"/>
      <x:c r="H29" s="41"/>
      <x:c r="I29" s="52"/>
      <x:c r="J29" s="52"/>
      <x:c r="K29" s="53" t="str">
        <x:f>IF(A29="","",I29+J29)</x:f>
      </x:c>
      <x:c r="L29" s="55" t="str">
        <x:f>IF(A29="","",IF(H29="عرض 2 بـ120",'القوائم والإعدادات'!$B$6/2,IF(H29="عينة",0,'القوائم والإعدادات'!$B$5)))</x:f>
      </x:c>
      <x:c r="M29" s="55" t="str">
        <x:f>IF(A29="","",K29*L29)</x:f>
      </x:c>
      <x:c r="N29" s="56"/>
      <x:c r="O29" s="56"/>
      <x:c r="P29" s="56"/>
      <x:c r="Q29" s="55" t="str">
        <x:f>IF(A29="","",MAX(0,M29-N29+O29))</x:f>
      </x:c>
      <x:c r="R29" s="55" t="str">
        <x:f>IF(A29="","",I29*'المخزون'!$L$6+J29*'المخزون'!$L$7)</x:f>
      </x:c>
      <x:c r="S29" s="55" t="str">
        <x:f>IF(A29="","",Q29-R29-P29)</x:f>
      </x:c>
      <x:c r="T29" s="41"/>
      <x:c r="U29" s="41"/>
      <x:c r="V29" s="56"/>
      <x:c r="W29" s="55" t="str">
        <x:f>IF(A29="","",MAX(0,Q29-V29))</x:f>
      </x:c>
      <x:c r="X29" s="41"/>
      <x:c r="Y29" s="41"/>
      <x:c r="Z29" s="48"/>
      <x:c r="AA29" s="48"/>
      <x:c r="AB29" s="41"/>
      <x:c r="AC29" s="41"/>
      <x:c r="AD29" s="41"/>
      <x:c r="AE29" s="48"/>
      <x:c r="AF29" s="41"/>
      <x:c r="AG29" s="58" t="str">
        <x:f>IF(A29="","",IFERROR(VLOOKUP(A29,'الفيدباك'!$C$7:$G$206,5,FALSE),""))</x:f>
      </x:c>
      <x:c r="AH29" s="42" t="str">
        <x:f>IF(A29="","",IFERROR(VLOOKUP(A29,'الفيدباك'!$C$7:$L$206,10,FALSE),""))</x:f>
      </x:c>
      <x:c r="AI29" s="41"/>
      <x:c r="AJ29" s="42" t="str">
        <x:f>IF(A29="","",IF(A29="مثال-احذفه","صف توضيحي - احذفه قبل البدء",IF(X29="","حدّث حالة الطلب",IF(AND(X29&lt;&gt;"تم التوصيل",X29&lt;&gt;"ملغي",X29&lt;&gt;"مرتجع",Z29&lt;&gt;"",Z29&lt;TODAY()),"متأخر عن موعد التوصيل",IF(AND(X29="تم التوصيل",W29&gt;0),"حصّل المبلغ المتبقي",IF(AND(X29="تم التوصيل",AD29="موافق",OR(AF29="",AF29="لم يُطلب")),"ابعت لينك الفيدباك",IF(AND(AF29="تم إرسال الرابط",AE29&lt;&gt;"",TODAY()-AE29&gt;=3),"تابع الفيدباك","لا يوجد إجراء عاجل")))))))</x:f>
      </x:c>
    </x:row>
    <x:row r="30" ht="31" customHeight="1">
      <x:c r="A30" s="41"/>
      <x:c r="B30" s="46"/>
      <x:c r="C30" s="41"/>
      <x:c r="D30" s="41"/>
      <x:c r="E30" s="50"/>
      <x:c r="F30" s="41"/>
      <x:c r="G30" s="41"/>
      <x:c r="H30" s="41"/>
      <x:c r="I30" s="52"/>
      <x:c r="J30" s="52"/>
      <x:c r="K30" s="53" t="str">
        <x:f>IF(A30="","",I30+J30)</x:f>
      </x:c>
      <x:c r="L30" s="55" t="str">
        <x:f>IF(A30="","",IF(H30="عرض 2 بـ120",'القوائم والإعدادات'!$B$6/2,IF(H30="عينة",0,'القوائم والإعدادات'!$B$5)))</x:f>
      </x:c>
      <x:c r="M30" s="55" t="str">
        <x:f>IF(A30="","",K30*L30)</x:f>
      </x:c>
      <x:c r="N30" s="56"/>
      <x:c r="O30" s="56"/>
      <x:c r="P30" s="56"/>
      <x:c r="Q30" s="55" t="str">
        <x:f>IF(A30="","",MAX(0,M30-N30+O30))</x:f>
      </x:c>
      <x:c r="R30" s="55" t="str">
        <x:f>IF(A30="","",I30*'المخزون'!$L$6+J30*'المخزون'!$L$7)</x:f>
      </x:c>
      <x:c r="S30" s="55" t="str">
        <x:f>IF(A30="","",Q30-R30-P30)</x:f>
      </x:c>
      <x:c r="T30" s="41"/>
      <x:c r="U30" s="41"/>
      <x:c r="V30" s="56"/>
      <x:c r="W30" s="55" t="str">
        <x:f>IF(A30="","",MAX(0,Q30-V30))</x:f>
      </x:c>
      <x:c r="X30" s="41"/>
      <x:c r="Y30" s="41"/>
      <x:c r="Z30" s="48"/>
      <x:c r="AA30" s="48"/>
      <x:c r="AB30" s="41"/>
      <x:c r="AC30" s="41"/>
      <x:c r="AD30" s="41"/>
      <x:c r="AE30" s="48"/>
      <x:c r="AF30" s="41"/>
      <x:c r="AG30" s="58" t="str">
        <x:f>IF(A30="","",IFERROR(VLOOKUP(A30,'الفيدباك'!$C$7:$G$206,5,FALSE),""))</x:f>
      </x:c>
      <x:c r="AH30" s="42" t="str">
        <x:f>IF(A30="","",IFERROR(VLOOKUP(A30,'الفيدباك'!$C$7:$L$206,10,FALSE),""))</x:f>
      </x:c>
      <x:c r="AI30" s="41"/>
      <x:c r="AJ30" s="42" t="str">
        <x:f>IF(A30="","",IF(A30="مثال-احذفه","صف توضيحي - احذفه قبل البدء",IF(X30="","حدّث حالة الطلب",IF(AND(X30&lt;&gt;"تم التوصيل",X30&lt;&gt;"ملغي",X30&lt;&gt;"مرتجع",Z30&lt;&gt;"",Z30&lt;TODAY()),"متأخر عن موعد التوصيل",IF(AND(X30="تم التوصيل",W30&gt;0),"حصّل المبلغ المتبقي",IF(AND(X30="تم التوصيل",AD30="موافق",OR(AF30="",AF30="لم يُطلب")),"ابعت لينك الفيدباك",IF(AND(AF30="تم إرسال الرابط",AE30&lt;&gt;"",TODAY()-AE30&gt;=3),"تابع الفيدباك","لا يوجد إجراء عاجل")))))))</x:f>
      </x:c>
    </x:row>
    <x:row r="31" ht="31" customHeight="1">
      <x:c r="A31" s="41"/>
      <x:c r="B31" s="46"/>
      <x:c r="C31" s="41"/>
      <x:c r="D31" s="41"/>
      <x:c r="E31" s="50"/>
      <x:c r="F31" s="41"/>
      <x:c r="G31" s="41"/>
      <x:c r="H31" s="41"/>
      <x:c r="I31" s="52"/>
      <x:c r="J31" s="52"/>
      <x:c r="K31" s="53" t="str">
        <x:f>IF(A31="","",I31+J31)</x:f>
      </x:c>
      <x:c r="L31" s="55" t="str">
        <x:f>IF(A31="","",IF(H31="عرض 2 بـ120",'القوائم والإعدادات'!$B$6/2,IF(H31="عينة",0,'القوائم والإعدادات'!$B$5)))</x:f>
      </x:c>
      <x:c r="M31" s="55" t="str">
        <x:f>IF(A31="","",K31*L31)</x:f>
      </x:c>
      <x:c r="N31" s="56"/>
      <x:c r="O31" s="56"/>
      <x:c r="P31" s="56"/>
      <x:c r="Q31" s="55" t="str">
        <x:f>IF(A31="","",MAX(0,M31-N31+O31))</x:f>
      </x:c>
      <x:c r="R31" s="55" t="str">
        <x:f>IF(A31="","",I31*'المخزون'!$L$6+J31*'المخزون'!$L$7)</x:f>
      </x:c>
      <x:c r="S31" s="55" t="str">
        <x:f>IF(A31="","",Q31-R31-P31)</x:f>
      </x:c>
      <x:c r="T31" s="41"/>
      <x:c r="U31" s="41"/>
      <x:c r="V31" s="56"/>
      <x:c r="W31" s="55" t="str">
        <x:f>IF(A31="","",MAX(0,Q31-V31))</x:f>
      </x:c>
      <x:c r="X31" s="41"/>
      <x:c r="Y31" s="41"/>
      <x:c r="Z31" s="48"/>
      <x:c r="AA31" s="48"/>
      <x:c r="AB31" s="41"/>
      <x:c r="AC31" s="41"/>
      <x:c r="AD31" s="41"/>
      <x:c r="AE31" s="48"/>
      <x:c r="AF31" s="41"/>
      <x:c r="AG31" s="58" t="str">
        <x:f>IF(A31="","",IFERROR(VLOOKUP(A31,'الفيدباك'!$C$7:$G$206,5,FALSE),""))</x:f>
      </x:c>
      <x:c r="AH31" s="42" t="str">
        <x:f>IF(A31="","",IFERROR(VLOOKUP(A31,'الفيدباك'!$C$7:$L$206,10,FALSE),""))</x:f>
      </x:c>
      <x:c r="AI31" s="41"/>
      <x:c r="AJ31" s="42" t="str">
        <x:f>IF(A31="","",IF(A31="مثال-احذفه","صف توضيحي - احذفه قبل البدء",IF(X31="","حدّث حالة الطلب",IF(AND(X31&lt;&gt;"تم التوصيل",X31&lt;&gt;"ملغي",X31&lt;&gt;"مرتجع",Z31&lt;&gt;"",Z31&lt;TODAY()),"متأخر عن موعد التوصيل",IF(AND(X31="تم التوصيل",W31&gt;0),"حصّل المبلغ المتبقي",IF(AND(X31="تم التوصيل",AD31="موافق",OR(AF31="",AF31="لم يُطلب")),"ابعت لينك الفيدباك",IF(AND(AF31="تم إرسال الرابط",AE31&lt;&gt;"",TODAY()-AE31&gt;=3),"تابع الفيدباك","لا يوجد إجراء عاجل")))))))</x:f>
      </x:c>
    </x:row>
    <x:row r="32" ht="31" customHeight="1">
      <x:c r="A32" s="41"/>
      <x:c r="B32" s="46"/>
      <x:c r="C32" s="41"/>
      <x:c r="D32" s="41"/>
      <x:c r="E32" s="50"/>
      <x:c r="F32" s="41"/>
      <x:c r="G32" s="41"/>
      <x:c r="H32" s="41"/>
      <x:c r="I32" s="52"/>
      <x:c r="J32" s="52"/>
      <x:c r="K32" s="53" t="str">
        <x:f>IF(A32="","",I32+J32)</x:f>
      </x:c>
      <x:c r="L32" s="55" t="str">
        <x:f>IF(A32="","",IF(H32="عرض 2 بـ120",'القوائم والإعدادات'!$B$6/2,IF(H32="عينة",0,'القوائم والإعدادات'!$B$5)))</x:f>
      </x:c>
      <x:c r="M32" s="55" t="str">
        <x:f>IF(A32="","",K32*L32)</x:f>
      </x:c>
      <x:c r="N32" s="56"/>
      <x:c r="O32" s="56"/>
      <x:c r="P32" s="56"/>
      <x:c r="Q32" s="55" t="str">
        <x:f>IF(A32="","",MAX(0,M32-N32+O32))</x:f>
      </x:c>
      <x:c r="R32" s="55" t="str">
        <x:f>IF(A32="","",I32*'المخزون'!$L$6+J32*'المخزون'!$L$7)</x:f>
      </x:c>
      <x:c r="S32" s="55" t="str">
        <x:f>IF(A32="","",Q32-R32-P32)</x:f>
      </x:c>
      <x:c r="T32" s="41"/>
      <x:c r="U32" s="41"/>
      <x:c r="V32" s="56"/>
      <x:c r="W32" s="55" t="str">
        <x:f>IF(A32="","",MAX(0,Q32-V32))</x:f>
      </x:c>
      <x:c r="X32" s="41"/>
      <x:c r="Y32" s="41"/>
      <x:c r="Z32" s="48"/>
      <x:c r="AA32" s="48"/>
      <x:c r="AB32" s="41"/>
      <x:c r="AC32" s="41"/>
      <x:c r="AD32" s="41"/>
      <x:c r="AE32" s="48"/>
      <x:c r="AF32" s="41"/>
      <x:c r="AG32" s="58" t="str">
        <x:f>IF(A32="","",IFERROR(VLOOKUP(A32,'الفيدباك'!$C$7:$G$206,5,FALSE),""))</x:f>
      </x:c>
      <x:c r="AH32" s="42" t="str">
        <x:f>IF(A32="","",IFERROR(VLOOKUP(A32,'الفيدباك'!$C$7:$L$206,10,FALSE),""))</x:f>
      </x:c>
      <x:c r="AI32" s="41"/>
      <x:c r="AJ32" s="42" t="str">
        <x:f>IF(A32="","",IF(A32="مثال-احذفه","صف توضيحي - احذفه قبل البدء",IF(X32="","حدّث حالة الطلب",IF(AND(X32&lt;&gt;"تم التوصيل",X32&lt;&gt;"ملغي",X32&lt;&gt;"مرتجع",Z32&lt;&gt;"",Z32&lt;TODAY()),"متأخر عن موعد التوصيل",IF(AND(X32="تم التوصيل",W32&gt;0),"حصّل المبلغ المتبقي",IF(AND(X32="تم التوصيل",AD32="موافق",OR(AF32="",AF32="لم يُطلب")),"ابعت لينك الفيدباك",IF(AND(AF32="تم إرسال الرابط",AE32&lt;&gt;"",TODAY()-AE32&gt;=3),"تابع الفيدباك","لا يوجد إجراء عاجل")))))))</x:f>
      </x:c>
    </x:row>
    <x:row r="33" ht="31" customHeight="1">
      <x:c r="A33" s="41"/>
      <x:c r="B33" s="46"/>
      <x:c r="C33" s="41"/>
      <x:c r="D33" s="41"/>
      <x:c r="E33" s="50"/>
      <x:c r="F33" s="41"/>
      <x:c r="G33" s="41"/>
      <x:c r="H33" s="41"/>
      <x:c r="I33" s="52"/>
      <x:c r="J33" s="52"/>
      <x:c r="K33" s="53" t="str">
        <x:f>IF(A33="","",I33+J33)</x:f>
      </x:c>
      <x:c r="L33" s="55" t="str">
        <x:f>IF(A33="","",IF(H33="عرض 2 بـ120",'القوائم والإعدادات'!$B$6/2,IF(H33="عينة",0,'القوائم والإعدادات'!$B$5)))</x:f>
      </x:c>
      <x:c r="M33" s="55" t="str">
        <x:f>IF(A33="","",K33*L33)</x:f>
      </x:c>
      <x:c r="N33" s="56"/>
      <x:c r="O33" s="56"/>
      <x:c r="P33" s="56"/>
      <x:c r="Q33" s="55" t="str">
        <x:f>IF(A33="","",MAX(0,M33-N33+O33))</x:f>
      </x:c>
      <x:c r="R33" s="55" t="str">
        <x:f>IF(A33="","",I33*'المخزون'!$L$6+J33*'المخزون'!$L$7)</x:f>
      </x:c>
      <x:c r="S33" s="55" t="str">
        <x:f>IF(A33="","",Q33-R33-P33)</x:f>
      </x:c>
      <x:c r="T33" s="41"/>
      <x:c r="U33" s="41"/>
      <x:c r="V33" s="56"/>
      <x:c r="W33" s="55" t="str">
        <x:f>IF(A33="","",MAX(0,Q33-V33))</x:f>
      </x:c>
      <x:c r="X33" s="41"/>
      <x:c r="Y33" s="41"/>
      <x:c r="Z33" s="48"/>
      <x:c r="AA33" s="48"/>
      <x:c r="AB33" s="41"/>
      <x:c r="AC33" s="41"/>
      <x:c r="AD33" s="41"/>
      <x:c r="AE33" s="48"/>
      <x:c r="AF33" s="41"/>
      <x:c r="AG33" s="58" t="str">
        <x:f>IF(A33="","",IFERROR(VLOOKUP(A33,'الفيدباك'!$C$7:$G$206,5,FALSE),""))</x:f>
      </x:c>
      <x:c r="AH33" s="42" t="str">
        <x:f>IF(A33="","",IFERROR(VLOOKUP(A33,'الفيدباك'!$C$7:$L$206,10,FALSE),""))</x:f>
      </x:c>
      <x:c r="AI33" s="41"/>
      <x:c r="AJ33" s="42" t="str">
        <x:f>IF(A33="","",IF(A33="مثال-احذفه","صف توضيحي - احذفه قبل البدء",IF(X33="","حدّث حالة الطلب",IF(AND(X33&lt;&gt;"تم التوصيل",X33&lt;&gt;"ملغي",X33&lt;&gt;"مرتجع",Z33&lt;&gt;"",Z33&lt;TODAY()),"متأخر عن موعد التوصيل",IF(AND(X33="تم التوصيل",W33&gt;0),"حصّل المبلغ المتبقي",IF(AND(X33="تم التوصيل",AD33="موافق",OR(AF33="",AF33="لم يُطلب")),"ابعت لينك الفيدباك",IF(AND(AF33="تم إرسال الرابط",AE33&lt;&gt;"",TODAY()-AE33&gt;=3),"تابع الفيدباك","لا يوجد إجراء عاجل")))))))</x:f>
      </x:c>
    </x:row>
    <x:row r="34" ht="31" customHeight="1">
      <x:c r="A34" s="41"/>
      <x:c r="B34" s="46"/>
      <x:c r="C34" s="41"/>
      <x:c r="D34" s="41"/>
      <x:c r="E34" s="50"/>
      <x:c r="F34" s="41"/>
      <x:c r="G34" s="41"/>
      <x:c r="H34" s="41"/>
      <x:c r="I34" s="52"/>
      <x:c r="J34" s="52"/>
      <x:c r="K34" s="53" t="str">
        <x:f>IF(A34="","",I34+J34)</x:f>
      </x:c>
      <x:c r="L34" s="55" t="str">
        <x:f>IF(A34="","",IF(H34="عرض 2 بـ120",'القوائم والإعدادات'!$B$6/2,IF(H34="عينة",0,'القوائم والإعدادات'!$B$5)))</x:f>
      </x:c>
      <x:c r="M34" s="55" t="str">
        <x:f>IF(A34="","",K34*L34)</x:f>
      </x:c>
      <x:c r="N34" s="56"/>
      <x:c r="O34" s="56"/>
      <x:c r="P34" s="56"/>
      <x:c r="Q34" s="55" t="str">
        <x:f>IF(A34="","",MAX(0,M34-N34+O34))</x:f>
      </x:c>
      <x:c r="R34" s="55" t="str">
        <x:f>IF(A34="","",I34*'المخزون'!$L$6+J34*'المخزون'!$L$7)</x:f>
      </x:c>
      <x:c r="S34" s="55" t="str">
        <x:f>IF(A34="","",Q34-R34-P34)</x:f>
      </x:c>
      <x:c r="T34" s="41"/>
      <x:c r="U34" s="41"/>
      <x:c r="V34" s="56"/>
      <x:c r="W34" s="55" t="str">
        <x:f>IF(A34="","",MAX(0,Q34-V34))</x:f>
      </x:c>
      <x:c r="X34" s="41"/>
      <x:c r="Y34" s="41"/>
      <x:c r="Z34" s="48"/>
      <x:c r="AA34" s="48"/>
      <x:c r="AB34" s="41"/>
      <x:c r="AC34" s="41"/>
      <x:c r="AD34" s="41"/>
      <x:c r="AE34" s="48"/>
      <x:c r="AF34" s="41"/>
      <x:c r="AG34" s="58" t="str">
        <x:f>IF(A34="","",IFERROR(VLOOKUP(A34,'الفيدباك'!$C$7:$G$206,5,FALSE),""))</x:f>
      </x:c>
      <x:c r="AH34" s="42" t="str">
        <x:f>IF(A34="","",IFERROR(VLOOKUP(A34,'الفيدباك'!$C$7:$L$206,10,FALSE),""))</x:f>
      </x:c>
      <x:c r="AI34" s="41"/>
      <x:c r="AJ34" s="42" t="str">
        <x:f>IF(A34="","",IF(A34="مثال-احذفه","صف توضيحي - احذفه قبل البدء",IF(X34="","حدّث حالة الطلب",IF(AND(X34&lt;&gt;"تم التوصيل",X34&lt;&gt;"ملغي",X34&lt;&gt;"مرتجع",Z34&lt;&gt;"",Z34&lt;TODAY()),"متأخر عن موعد التوصيل",IF(AND(X34="تم التوصيل",W34&gt;0),"حصّل المبلغ المتبقي",IF(AND(X34="تم التوصيل",AD34="موافق",OR(AF34="",AF34="لم يُطلب")),"ابعت لينك الفيدباك",IF(AND(AF34="تم إرسال الرابط",AE34&lt;&gt;"",TODAY()-AE34&gt;=3),"تابع الفيدباك","لا يوجد إجراء عاجل")))))))</x:f>
      </x:c>
    </x:row>
    <x:row r="35" ht="31" customHeight="1">
      <x:c r="A35" s="41"/>
      <x:c r="B35" s="46"/>
      <x:c r="C35" s="41"/>
      <x:c r="D35" s="41"/>
      <x:c r="E35" s="50"/>
      <x:c r="F35" s="41"/>
      <x:c r="G35" s="41"/>
      <x:c r="H35" s="41"/>
      <x:c r="I35" s="52"/>
      <x:c r="J35" s="52"/>
      <x:c r="K35" s="53" t="str">
        <x:f>IF(A35="","",I35+J35)</x:f>
      </x:c>
      <x:c r="L35" s="55" t="str">
        <x:f>IF(A35="","",IF(H35="عرض 2 بـ120",'القوائم والإعدادات'!$B$6/2,IF(H35="عينة",0,'القوائم والإعدادات'!$B$5)))</x:f>
      </x:c>
      <x:c r="M35" s="55" t="str">
        <x:f>IF(A35="","",K35*L35)</x:f>
      </x:c>
      <x:c r="N35" s="56"/>
      <x:c r="O35" s="56"/>
      <x:c r="P35" s="56"/>
      <x:c r="Q35" s="55" t="str">
        <x:f>IF(A35="","",MAX(0,M35-N35+O35))</x:f>
      </x:c>
      <x:c r="R35" s="55" t="str">
        <x:f>IF(A35="","",I35*'المخزون'!$L$6+J35*'المخزون'!$L$7)</x:f>
      </x:c>
      <x:c r="S35" s="55" t="str">
        <x:f>IF(A35="","",Q35-R35-P35)</x:f>
      </x:c>
      <x:c r="T35" s="41"/>
      <x:c r="U35" s="41"/>
      <x:c r="V35" s="56"/>
      <x:c r="W35" s="55" t="str">
        <x:f>IF(A35="","",MAX(0,Q35-V35))</x:f>
      </x:c>
      <x:c r="X35" s="41"/>
      <x:c r="Y35" s="41"/>
      <x:c r="Z35" s="48"/>
      <x:c r="AA35" s="48"/>
      <x:c r="AB35" s="41"/>
      <x:c r="AC35" s="41"/>
      <x:c r="AD35" s="41"/>
      <x:c r="AE35" s="48"/>
      <x:c r="AF35" s="41"/>
      <x:c r="AG35" s="58" t="str">
        <x:f>IF(A35="","",IFERROR(VLOOKUP(A35,'الفيدباك'!$C$7:$G$206,5,FALSE),""))</x:f>
      </x:c>
      <x:c r="AH35" s="42" t="str">
        <x:f>IF(A35="","",IFERROR(VLOOKUP(A35,'الفيدباك'!$C$7:$L$206,10,FALSE),""))</x:f>
      </x:c>
      <x:c r="AI35" s="41"/>
      <x:c r="AJ35" s="42" t="str">
        <x:f>IF(A35="","",IF(A35="مثال-احذفه","صف توضيحي - احذفه قبل البدء",IF(X35="","حدّث حالة الطلب",IF(AND(X35&lt;&gt;"تم التوصيل",X35&lt;&gt;"ملغي",X35&lt;&gt;"مرتجع",Z35&lt;&gt;"",Z35&lt;TODAY()),"متأخر عن موعد التوصيل",IF(AND(X35="تم التوصيل",W35&gt;0),"حصّل المبلغ المتبقي",IF(AND(X35="تم التوصيل",AD35="موافق",OR(AF35="",AF35="لم يُطلب")),"ابعت لينك الفيدباك",IF(AND(AF35="تم إرسال الرابط",AE35&lt;&gt;"",TODAY()-AE35&gt;=3),"تابع الفيدباك","لا يوجد إجراء عاجل")))))))</x:f>
      </x:c>
    </x:row>
    <x:row r="36" ht="31" customHeight="1">
      <x:c r="A36" s="41"/>
      <x:c r="B36" s="46"/>
      <x:c r="C36" s="41"/>
      <x:c r="D36" s="41"/>
      <x:c r="E36" s="50"/>
      <x:c r="F36" s="41"/>
      <x:c r="G36" s="41"/>
      <x:c r="H36" s="41"/>
      <x:c r="I36" s="52"/>
      <x:c r="J36" s="52"/>
      <x:c r="K36" s="53" t="str">
        <x:f>IF(A36="","",I36+J36)</x:f>
      </x:c>
      <x:c r="L36" s="55" t="str">
        <x:f>IF(A36="","",IF(H36="عرض 2 بـ120",'القوائم والإعدادات'!$B$6/2,IF(H36="عينة",0,'القوائم والإعدادات'!$B$5)))</x:f>
      </x:c>
      <x:c r="M36" s="55" t="str">
        <x:f>IF(A36="","",K36*L36)</x:f>
      </x:c>
      <x:c r="N36" s="56"/>
      <x:c r="O36" s="56"/>
      <x:c r="P36" s="56"/>
      <x:c r="Q36" s="55" t="str">
        <x:f>IF(A36="","",MAX(0,M36-N36+O36))</x:f>
      </x:c>
      <x:c r="R36" s="55" t="str">
        <x:f>IF(A36="","",I36*'المخزون'!$L$6+J36*'المخزون'!$L$7)</x:f>
      </x:c>
      <x:c r="S36" s="55" t="str">
        <x:f>IF(A36="","",Q36-R36-P36)</x:f>
      </x:c>
      <x:c r="T36" s="41"/>
      <x:c r="U36" s="41"/>
      <x:c r="V36" s="56"/>
      <x:c r="W36" s="55" t="str">
        <x:f>IF(A36="","",MAX(0,Q36-V36))</x:f>
      </x:c>
      <x:c r="X36" s="41"/>
      <x:c r="Y36" s="41"/>
      <x:c r="Z36" s="48"/>
      <x:c r="AA36" s="48"/>
      <x:c r="AB36" s="41"/>
      <x:c r="AC36" s="41"/>
      <x:c r="AD36" s="41"/>
      <x:c r="AE36" s="48"/>
      <x:c r="AF36" s="41"/>
      <x:c r="AG36" s="58" t="str">
        <x:f>IF(A36="","",IFERROR(VLOOKUP(A36,'الفيدباك'!$C$7:$G$206,5,FALSE),""))</x:f>
      </x:c>
      <x:c r="AH36" s="42" t="str">
        <x:f>IF(A36="","",IFERROR(VLOOKUP(A36,'الفيدباك'!$C$7:$L$206,10,FALSE),""))</x:f>
      </x:c>
      <x:c r="AI36" s="41"/>
      <x:c r="AJ36" s="42" t="str">
        <x:f>IF(A36="","",IF(A36="مثال-احذفه","صف توضيحي - احذفه قبل البدء",IF(X36="","حدّث حالة الطلب",IF(AND(X36&lt;&gt;"تم التوصيل",X36&lt;&gt;"ملغي",X36&lt;&gt;"مرتجع",Z36&lt;&gt;"",Z36&lt;TODAY()),"متأخر عن موعد التوصيل",IF(AND(X36="تم التوصيل",W36&gt;0),"حصّل المبلغ المتبقي",IF(AND(X36="تم التوصيل",AD36="موافق",OR(AF36="",AF36="لم يُطلب")),"ابعت لينك الفيدباك",IF(AND(AF36="تم إرسال الرابط",AE36&lt;&gt;"",TODAY()-AE36&gt;=3),"تابع الفيدباك","لا يوجد إجراء عاجل")))))))</x:f>
      </x:c>
    </x:row>
    <x:row r="37" ht="31" customHeight="1">
      <x:c r="A37" s="41"/>
      <x:c r="B37" s="46"/>
      <x:c r="C37" s="41"/>
      <x:c r="D37" s="41"/>
      <x:c r="E37" s="50"/>
      <x:c r="F37" s="41"/>
      <x:c r="G37" s="41"/>
      <x:c r="H37" s="41"/>
      <x:c r="I37" s="52"/>
      <x:c r="J37" s="52"/>
      <x:c r="K37" s="53" t="str">
        <x:f>IF(A37="","",I37+J37)</x:f>
      </x:c>
      <x:c r="L37" s="55" t="str">
        <x:f>IF(A37="","",IF(H37="عرض 2 بـ120",'القوائم والإعدادات'!$B$6/2,IF(H37="عينة",0,'القوائم والإعدادات'!$B$5)))</x:f>
      </x:c>
      <x:c r="M37" s="55" t="str">
        <x:f>IF(A37="","",K37*L37)</x:f>
      </x:c>
      <x:c r="N37" s="56"/>
      <x:c r="O37" s="56"/>
      <x:c r="P37" s="56"/>
      <x:c r="Q37" s="55" t="str">
        <x:f>IF(A37="","",MAX(0,M37-N37+O37))</x:f>
      </x:c>
      <x:c r="R37" s="55" t="str">
        <x:f>IF(A37="","",I37*'المخزون'!$L$6+J37*'المخزون'!$L$7)</x:f>
      </x:c>
      <x:c r="S37" s="55" t="str">
        <x:f>IF(A37="","",Q37-R37-P37)</x:f>
      </x:c>
      <x:c r="T37" s="41"/>
      <x:c r="U37" s="41"/>
      <x:c r="V37" s="56"/>
      <x:c r="W37" s="55" t="str">
        <x:f>IF(A37="","",MAX(0,Q37-V37))</x:f>
      </x:c>
      <x:c r="X37" s="41"/>
      <x:c r="Y37" s="41"/>
      <x:c r="Z37" s="48"/>
      <x:c r="AA37" s="48"/>
      <x:c r="AB37" s="41"/>
      <x:c r="AC37" s="41"/>
      <x:c r="AD37" s="41"/>
      <x:c r="AE37" s="48"/>
      <x:c r="AF37" s="41"/>
      <x:c r="AG37" s="58" t="str">
        <x:f>IF(A37="","",IFERROR(VLOOKUP(A37,'الفيدباك'!$C$7:$G$206,5,FALSE),""))</x:f>
      </x:c>
      <x:c r="AH37" s="42" t="str">
        <x:f>IF(A37="","",IFERROR(VLOOKUP(A37,'الفيدباك'!$C$7:$L$206,10,FALSE),""))</x:f>
      </x:c>
      <x:c r="AI37" s="41"/>
      <x:c r="AJ37" s="42" t="str">
        <x:f>IF(A37="","",IF(A37="مثال-احذفه","صف توضيحي - احذفه قبل البدء",IF(X37="","حدّث حالة الطلب",IF(AND(X37&lt;&gt;"تم التوصيل",X37&lt;&gt;"ملغي",X37&lt;&gt;"مرتجع",Z37&lt;&gt;"",Z37&lt;TODAY()),"متأخر عن موعد التوصيل",IF(AND(X37="تم التوصيل",W37&gt;0),"حصّل المبلغ المتبقي",IF(AND(X37="تم التوصيل",AD37="موافق",OR(AF37="",AF37="لم يُطلب")),"ابعت لينك الفيدباك",IF(AND(AF37="تم إرسال الرابط",AE37&lt;&gt;"",TODAY()-AE37&gt;=3),"تابع الفيدباك","لا يوجد إجراء عاجل")))))))</x:f>
      </x:c>
    </x:row>
    <x:row r="38" ht="31" customHeight="1">
      <x:c r="A38" s="41"/>
      <x:c r="B38" s="46"/>
      <x:c r="C38" s="41"/>
      <x:c r="D38" s="41"/>
      <x:c r="E38" s="50"/>
      <x:c r="F38" s="41"/>
      <x:c r="G38" s="41"/>
      <x:c r="H38" s="41"/>
      <x:c r="I38" s="52"/>
      <x:c r="J38" s="52"/>
      <x:c r="K38" s="53" t="str">
        <x:f>IF(A38="","",I38+J38)</x:f>
      </x:c>
      <x:c r="L38" s="55" t="str">
        <x:f>IF(A38="","",IF(H38="عرض 2 بـ120",'القوائم والإعدادات'!$B$6/2,IF(H38="عينة",0,'القوائم والإعدادات'!$B$5)))</x:f>
      </x:c>
      <x:c r="M38" s="55" t="str">
        <x:f>IF(A38="","",K38*L38)</x:f>
      </x:c>
      <x:c r="N38" s="56"/>
      <x:c r="O38" s="56"/>
      <x:c r="P38" s="56"/>
      <x:c r="Q38" s="55" t="str">
        <x:f>IF(A38="","",MAX(0,M38-N38+O38))</x:f>
      </x:c>
      <x:c r="R38" s="55" t="str">
        <x:f>IF(A38="","",I38*'المخزون'!$L$6+J38*'المخزون'!$L$7)</x:f>
      </x:c>
      <x:c r="S38" s="55" t="str">
        <x:f>IF(A38="","",Q38-R38-P38)</x:f>
      </x:c>
      <x:c r="T38" s="41"/>
      <x:c r="U38" s="41"/>
      <x:c r="V38" s="56"/>
      <x:c r="W38" s="55" t="str">
        <x:f>IF(A38="","",MAX(0,Q38-V38))</x:f>
      </x:c>
      <x:c r="X38" s="41"/>
      <x:c r="Y38" s="41"/>
      <x:c r="Z38" s="48"/>
      <x:c r="AA38" s="48"/>
      <x:c r="AB38" s="41"/>
      <x:c r="AC38" s="41"/>
      <x:c r="AD38" s="41"/>
      <x:c r="AE38" s="48"/>
      <x:c r="AF38" s="41"/>
      <x:c r="AG38" s="58" t="str">
        <x:f>IF(A38="","",IFERROR(VLOOKUP(A38,'الفيدباك'!$C$7:$G$206,5,FALSE),""))</x:f>
      </x:c>
      <x:c r="AH38" s="42" t="str">
        <x:f>IF(A38="","",IFERROR(VLOOKUP(A38,'الفيدباك'!$C$7:$L$206,10,FALSE),""))</x:f>
      </x:c>
      <x:c r="AI38" s="41"/>
      <x:c r="AJ38" s="42" t="str">
        <x:f>IF(A38="","",IF(A38="مثال-احذفه","صف توضيحي - احذفه قبل البدء",IF(X38="","حدّث حالة الطلب",IF(AND(X38&lt;&gt;"تم التوصيل",X38&lt;&gt;"ملغي",X38&lt;&gt;"مرتجع",Z38&lt;&gt;"",Z38&lt;TODAY()),"متأخر عن موعد التوصيل",IF(AND(X38="تم التوصيل",W38&gt;0),"حصّل المبلغ المتبقي",IF(AND(X38="تم التوصيل",AD38="موافق",OR(AF38="",AF38="لم يُطلب")),"ابعت لينك الفيدباك",IF(AND(AF38="تم إرسال الرابط",AE38&lt;&gt;"",TODAY()-AE38&gt;=3),"تابع الفيدباك","لا يوجد إجراء عاجل")))))))</x:f>
      </x:c>
    </x:row>
    <x:row r="39" ht="31" customHeight="1">
      <x:c r="A39" s="41"/>
      <x:c r="B39" s="46"/>
      <x:c r="C39" s="41"/>
      <x:c r="D39" s="41"/>
      <x:c r="E39" s="50"/>
      <x:c r="F39" s="41"/>
      <x:c r="G39" s="41"/>
      <x:c r="H39" s="41"/>
      <x:c r="I39" s="52"/>
      <x:c r="J39" s="52"/>
      <x:c r="K39" s="53" t="str">
        <x:f>IF(A39="","",I39+J39)</x:f>
      </x:c>
      <x:c r="L39" s="55" t="str">
        <x:f>IF(A39="","",IF(H39="عرض 2 بـ120",'القوائم والإعدادات'!$B$6/2,IF(H39="عينة",0,'القوائم والإعدادات'!$B$5)))</x:f>
      </x:c>
      <x:c r="M39" s="55" t="str">
        <x:f>IF(A39="","",K39*L39)</x:f>
      </x:c>
      <x:c r="N39" s="56"/>
      <x:c r="O39" s="56"/>
      <x:c r="P39" s="56"/>
      <x:c r="Q39" s="55" t="str">
        <x:f>IF(A39="","",MAX(0,M39-N39+O39))</x:f>
      </x:c>
      <x:c r="R39" s="55" t="str">
        <x:f>IF(A39="","",I39*'المخزون'!$L$6+J39*'المخزون'!$L$7)</x:f>
      </x:c>
      <x:c r="S39" s="55" t="str">
        <x:f>IF(A39="","",Q39-R39-P39)</x:f>
      </x:c>
      <x:c r="T39" s="41"/>
      <x:c r="U39" s="41"/>
      <x:c r="V39" s="56"/>
      <x:c r="W39" s="55" t="str">
        <x:f>IF(A39="","",MAX(0,Q39-V39))</x:f>
      </x:c>
      <x:c r="X39" s="41"/>
      <x:c r="Y39" s="41"/>
      <x:c r="Z39" s="48"/>
      <x:c r="AA39" s="48"/>
      <x:c r="AB39" s="41"/>
      <x:c r="AC39" s="41"/>
      <x:c r="AD39" s="41"/>
      <x:c r="AE39" s="48"/>
      <x:c r="AF39" s="41"/>
      <x:c r="AG39" s="58" t="str">
        <x:f>IF(A39="","",IFERROR(VLOOKUP(A39,'الفيدباك'!$C$7:$G$206,5,FALSE),""))</x:f>
      </x:c>
      <x:c r="AH39" s="42" t="str">
        <x:f>IF(A39="","",IFERROR(VLOOKUP(A39,'الفيدباك'!$C$7:$L$206,10,FALSE),""))</x:f>
      </x:c>
      <x:c r="AI39" s="41"/>
      <x:c r="AJ39" s="42" t="str">
        <x:f>IF(A39="","",IF(A39="مثال-احذفه","صف توضيحي - احذفه قبل البدء",IF(X39="","حدّث حالة الطلب",IF(AND(X39&lt;&gt;"تم التوصيل",X39&lt;&gt;"ملغي",X39&lt;&gt;"مرتجع",Z39&lt;&gt;"",Z39&lt;TODAY()),"متأخر عن موعد التوصيل",IF(AND(X39="تم التوصيل",W39&gt;0),"حصّل المبلغ المتبقي",IF(AND(X39="تم التوصيل",AD39="موافق",OR(AF39="",AF39="لم يُطلب")),"ابعت لينك الفيدباك",IF(AND(AF39="تم إرسال الرابط",AE39&lt;&gt;"",TODAY()-AE39&gt;=3),"تابع الفيدباك","لا يوجد إجراء عاجل")))))))</x:f>
      </x:c>
    </x:row>
    <x:row r="40" ht="31" customHeight="1">
      <x:c r="A40" s="41"/>
      <x:c r="B40" s="46"/>
      <x:c r="C40" s="41"/>
      <x:c r="D40" s="41"/>
      <x:c r="E40" s="50"/>
      <x:c r="F40" s="41"/>
      <x:c r="G40" s="41"/>
      <x:c r="H40" s="41"/>
      <x:c r="I40" s="52"/>
      <x:c r="J40" s="52"/>
      <x:c r="K40" s="53" t="str">
        <x:f>IF(A40="","",I40+J40)</x:f>
      </x:c>
      <x:c r="L40" s="55" t="str">
        <x:f>IF(A40="","",IF(H40="عرض 2 بـ120",'القوائم والإعدادات'!$B$6/2,IF(H40="عينة",0,'القوائم والإعدادات'!$B$5)))</x:f>
      </x:c>
      <x:c r="M40" s="55" t="str">
        <x:f>IF(A40="","",K40*L40)</x:f>
      </x:c>
      <x:c r="N40" s="56"/>
      <x:c r="O40" s="56"/>
      <x:c r="P40" s="56"/>
      <x:c r="Q40" s="55" t="str">
        <x:f>IF(A40="","",MAX(0,M40-N40+O40))</x:f>
      </x:c>
      <x:c r="R40" s="55" t="str">
        <x:f>IF(A40="","",I40*'المخزون'!$L$6+J40*'المخزون'!$L$7)</x:f>
      </x:c>
      <x:c r="S40" s="55" t="str">
        <x:f>IF(A40="","",Q40-R40-P40)</x:f>
      </x:c>
      <x:c r="T40" s="41"/>
      <x:c r="U40" s="41"/>
      <x:c r="V40" s="56"/>
      <x:c r="W40" s="55" t="str">
        <x:f>IF(A40="","",MAX(0,Q40-V40))</x:f>
      </x:c>
      <x:c r="X40" s="41"/>
      <x:c r="Y40" s="41"/>
      <x:c r="Z40" s="48"/>
      <x:c r="AA40" s="48"/>
      <x:c r="AB40" s="41"/>
      <x:c r="AC40" s="41"/>
      <x:c r="AD40" s="41"/>
      <x:c r="AE40" s="48"/>
      <x:c r="AF40" s="41"/>
      <x:c r="AG40" s="58" t="str">
        <x:f>IF(A40="","",IFERROR(VLOOKUP(A40,'الفيدباك'!$C$7:$G$206,5,FALSE),""))</x:f>
      </x:c>
      <x:c r="AH40" s="42" t="str">
        <x:f>IF(A40="","",IFERROR(VLOOKUP(A40,'الفيدباك'!$C$7:$L$206,10,FALSE),""))</x:f>
      </x:c>
      <x:c r="AI40" s="41"/>
      <x:c r="AJ40" s="42" t="str">
        <x:f>IF(A40="","",IF(A40="مثال-احذفه","صف توضيحي - احذفه قبل البدء",IF(X40="","حدّث حالة الطلب",IF(AND(X40&lt;&gt;"تم التوصيل",X40&lt;&gt;"ملغي",X40&lt;&gt;"مرتجع",Z40&lt;&gt;"",Z40&lt;TODAY()),"متأخر عن موعد التوصيل",IF(AND(X40="تم التوصيل",W40&gt;0),"حصّل المبلغ المتبقي",IF(AND(X40="تم التوصيل",AD40="موافق",OR(AF40="",AF40="لم يُطلب")),"ابعت لينك الفيدباك",IF(AND(AF40="تم إرسال الرابط",AE40&lt;&gt;"",TODAY()-AE40&gt;=3),"تابع الفيدباك","لا يوجد إجراء عاجل")))))))</x:f>
      </x:c>
    </x:row>
    <x:row r="41" ht="31" customHeight="1">
      <x:c r="A41" s="41"/>
      <x:c r="B41" s="46"/>
      <x:c r="C41" s="41"/>
      <x:c r="D41" s="41"/>
      <x:c r="E41" s="50"/>
      <x:c r="F41" s="41"/>
      <x:c r="G41" s="41"/>
      <x:c r="H41" s="41"/>
      <x:c r="I41" s="52"/>
      <x:c r="J41" s="52"/>
      <x:c r="K41" s="53" t="str">
        <x:f>IF(A41="","",I41+J41)</x:f>
      </x:c>
      <x:c r="L41" s="55" t="str">
        <x:f>IF(A41="","",IF(H41="عرض 2 بـ120",'القوائم والإعدادات'!$B$6/2,IF(H41="عينة",0,'القوائم والإعدادات'!$B$5)))</x:f>
      </x:c>
      <x:c r="M41" s="55" t="str">
        <x:f>IF(A41="","",K41*L41)</x:f>
      </x:c>
      <x:c r="N41" s="56"/>
      <x:c r="O41" s="56"/>
      <x:c r="P41" s="56"/>
      <x:c r="Q41" s="55" t="str">
        <x:f>IF(A41="","",MAX(0,M41-N41+O41))</x:f>
      </x:c>
      <x:c r="R41" s="55" t="str">
        <x:f>IF(A41="","",I41*'المخزون'!$L$6+J41*'المخزون'!$L$7)</x:f>
      </x:c>
      <x:c r="S41" s="55" t="str">
        <x:f>IF(A41="","",Q41-R41-P41)</x:f>
      </x:c>
      <x:c r="T41" s="41"/>
      <x:c r="U41" s="41"/>
      <x:c r="V41" s="56"/>
      <x:c r="W41" s="55" t="str">
        <x:f>IF(A41="","",MAX(0,Q41-V41))</x:f>
      </x:c>
      <x:c r="X41" s="41"/>
      <x:c r="Y41" s="41"/>
      <x:c r="Z41" s="48"/>
      <x:c r="AA41" s="48"/>
      <x:c r="AB41" s="41"/>
      <x:c r="AC41" s="41"/>
      <x:c r="AD41" s="41"/>
      <x:c r="AE41" s="48"/>
      <x:c r="AF41" s="41"/>
      <x:c r="AG41" s="58" t="str">
        <x:f>IF(A41="","",IFERROR(VLOOKUP(A41,'الفيدباك'!$C$7:$G$206,5,FALSE),""))</x:f>
      </x:c>
      <x:c r="AH41" s="42" t="str">
        <x:f>IF(A41="","",IFERROR(VLOOKUP(A41,'الفيدباك'!$C$7:$L$206,10,FALSE),""))</x:f>
      </x:c>
      <x:c r="AI41" s="41"/>
      <x:c r="AJ41" s="42" t="str">
        <x:f>IF(A41="","",IF(A41="مثال-احذفه","صف توضيحي - احذفه قبل البدء",IF(X41="","حدّث حالة الطلب",IF(AND(X41&lt;&gt;"تم التوصيل",X41&lt;&gt;"ملغي",X41&lt;&gt;"مرتجع",Z41&lt;&gt;"",Z41&lt;TODAY()),"متأخر عن موعد التوصيل",IF(AND(X41="تم التوصيل",W41&gt;0),"حصّل المبلغ المتبقي",IF(AND(X41="تم التوصيل",AD41="موافق",OR(AF41="",AF41="لم يُطلب")),"ابعت لينك الفيدباك",IF(AND(AF41="تم إرسال الرابط",AE41&lt;&gt;"",TODAY()-AE41&gt;=3),"تابع الفيدباك","لا يوجد إجراء عاجل")))))))</x:f>
      </x:c>
    </x:row>
    <x:row r="42" ht="31" customHeight="1">
      <x:c r="A42" s="41"/>
      <x:c r="B42" s="46"/>
      <x:c r="C42" s="41"/>
      <x:c r="D42" s="41"/>
      <x:c r="E42" s="50"/>
      <x:c r="F42" s="41"/>
      <x:c r="G42" s="41"/>
      <x:c r="H42" s="41"/>
      <x:c r="I42" s="52"/>
      <x:c r="J42" s="52"/>
      <x:c r="K42" s="53" t="str">
        <x:f>IF(A42="","",I42+J42)</x:f>
      </x:c>
      <x:c r="L42" s="55" t="str">
        <x:f>IF(A42="","",IF(H42="عرض 2 بـ120",'القوائم والإعدادات'!$B$6/2,IF(H42="عينة",0,'القوائم والإعدادات'!$B$5)))</x:f>
      </x:c>
      <x:c r="M42" s="55" t="str">
        <x:f>IF(A42="","",K42*L42)</x:f>
      </x:c>
      <x:c r="N42" s="56"/>
      <x:c r="O42" s="56"/>
      <x:c r="P42" s="56"/>
      <x:c r="Q42" s="55" t="str">
        <x:f>IF(A42="","",MAX(0,M42-N42+O42))</x:f>
      </x:c>
      <x:c r="R42" s="55" t="str">
        <x:f>IF(A42="","",I42*'المخزون'!$L$6+J42*'المخزون'!$L$7)</x:f>
      </x:c>
      <x:c r="S42" s="55" t="str">
        <x:f>IF(A42="","",Q42-R42-P42)</x:f>
      </x:c>
      <x:c r="T42" s="41"/>
      <x:c r="U42" s="41"/>
      <x:c r="V42" s="56"/>
      <x:c r="W42" s="55" t="str">
        <x:f>IF(A42="","",MAX(0,Q42-V42))</x:f>
      </x:c>
      <x:c r="X42" s="41"/>
      <x:c r="Y42" s="41"/>
      <x:c r="Z42" s="48"/>
      <x:c r="AA42" s="48"/>
      <x:c r="AB42" s="41"/>
      <x:c r="AC42" s="41"/>
      <x:c r="AD42" s="41"/>
      <x:c r="AE42" s="48"/>
      <x:c r="AF42" s="41"/>
      <x:c r="AG42" s="58" t="str">
        <x:f>IF(A42="","",IFERROR(VLOOKUP(A42,'الفيدباك'!$C$7:$G$206,5,FALSE),""))</x:f>
      </x:c>
      <x:c r="AH42" s="42" t="str">
        <x:f>IF(A42="","",IFERROR(VLOOKUP(A42,'الفيدباك'!$C$7:$L$206,10,FALSE),""))</x:f>
      </x:c>
      <x:c r="AI42" s="41"/>
      <x:c r="AJ42" s="42" t="str">
        <x:f>IF(A42="","",IF(A42="مثال-احذفه","صف توضيحي - احذفه قبل البدء",IF(X42="","حدّث حالة الطلب",IF(AND(X42&lt;&gt;"تم التوصيل",X42&lt;&gt;"ملغي",X42&lt;&gt;"مرتجع",Z42&lt;&gt;"",Z42&lt;TODAY()),"متأخر عن موعد التوصيل",IF(AND(X42="تم التوصيل",W42&gt;0),"حصّل المبلغ المتبقي",IF(AND(X42="تم التوصيل",AD42="موافق",OR(AF42="",AF42="لم يُطلب")),"ابعت لينك الفيدباك",IF(AND(AF42="تم إرسال الرابط",AE42&lt;&gt;"",TODAY()-AE42&gt;=3),"تابع الفيدباك","لا يوجد إجراء عاجل")))))))</x:f>
      </x:c>
    </x:row>
    <x:row r="43" ht="31" customHeight="1">
      <x:c r="A43" s="41"/>
      <x:c r="B43" s="46"/>
      <x:c r="C43" s="41"/>
      <x:c r="D43" s="41"/>
      <x:c r="E43" s="50"/>
      <x:c r="F43" s="41"/>
      <x:c r="G43" s="41"/>
      <x:c r="H43" s="41"/>
      <x:c r="I43" s="52"/>
      <x:c r="J43" s="52"/>
      <x:c r="K43" s="53" t="str">
        <x:f>IF(A43="","",I43+J43)</x:f>
      </x:c>
      <x:c r="L43" s="55" t="str">
        <x:f>IF(A43="","",IF(H43="عرض 2 بـ120",'القوائم والإعدادات'!$B$6/2,IF(H43="عينة",0,'القوائم والإعدادات'!$B$5)))</x:f>
      </x:c>
      <x:c r="M43" s="55" t="str">
        <x:f>IF(A43="","",K43*L43)</x:f>
      </x:c>
      <x:c r="N43" s="56"/>
      <x:c r="O43" s="56"/>
      <x:c r="P43" s="56"/>
      <x:c r="Q43" s="55" t="str">
        <x:f>IF(A43="","",MAX(0,M43-N43+O43))</x:f>
      </x:c>
      <x:c r="R43" s="55" t="str">
        <x:f>IF(A43="","",I43*'المخزون'!$L$6+J43*'المخزون'!$L$7)</x:f>
      </x:c>
      <x:c r="S43" s="55" t="str">
        <x:f>IF(A43="","",Q43-R43-P43)</x:f>
      </x:c>
      <x:c r="T43" s="41"/>
      <x:c r="U43" s="41"/>
      <x:c r="V43" s="56"/>
      <x:c r="W43" s="55" t="str">
        <x:f>IF(A43="","",MAX(0,Q43-V43))</x:f>
      </x:c>
      <x:c r="X43" s="41"/>
      <x:c r="Y43" s="41"/>
      <x:c r="Z43" s="48"/>
      <x:c r="AA43" s="48"/>
      <x:c r="AB43" s="41"/>
      <x:c r="AC43" s="41"/>
      <x:c r="AD43" s="41"/>
      <x:c r="AE43" s="48"/>
      <x:c r="AF43" s="41"/>
      <x:c r="AG43" s="58" t="str">
        <x:f>IF(A43="","",IFERROR(VLOOKUP(A43,'الفيدباك'!$C$7:$G$206,5,FALSE),""))</x:f>
      </x:c>
      <x:c r="AH43" s="42" t="str">
        <x:f>IF(A43="","",IFERROR(VLOOKUP(A43,'الفيدباك'!$C$7:$L$206,10,FALSE),""))</x:f>
      </x:c>
      <x:c r="AI43" s="41"/>
      <x:c r="AJ43" s="42" t="str">
        <x:f>IF(A43="","",IF(A43="مثال-احذفه","صف توضيحي - احذفه قبل البدء",IF(X43="","حدّث حالة الطلب",IF(AND(X43&lt;&gt;"تم التوصيل",X43&lt;&gt;"ملغي",X43&lt;&gt;"مرتجع",Z43&lt;&gt;"",Z43&lt;TODAY()),"متأخر عن موعد التوصيل",IF(AND(X43="تم التوصيل",W43&gt;0),"حصّل المبلغ المتبقي",IF(AND(X43="تم التوصيل",AD43="موافق",OR(AF43="",AF43="لم يُطلب")),"ابعت لينك الفيدباك",IF(AND(AF43="تم إرسال الرابط",AE43&lt;&gt;"",TODAY()-AE43&gt;=3),"تابع الفيدباك","لا يوجد إجراء عاجل")))))))</x:f>
      </x:c>
    </x:row>
    <x:row r="44" ht="31" customHeight="1">
      <x:c r="A44" s="41"/>
      <x:c r="B44" s="46"/>
      <x:c r="C44" s="41"/>
      <x:c r="D44" s="41"/>
      <x:c r="E44" s="50"/>
      <x:c r="F44" s="41"/>
      <x:c r="G44" s="41"/>
      <x:c r="H44" s="41"/>
      <x:c r="I44" s="52"/>
      <x:c r="J44" s="52"/>
      <x:c r="K44" s="53" t="str">
        <x:f>IF(A44="","",I44+J44)</x:f>
      </x:c>
      <x:c r="L44" s="55" t="str">
        <x:f>IF(A44="","",IF(H44="عرض 2 بـ120",'القوائم والإعدادات'!$B$6/2,IF(H44="عينة",0,'القوائم والإعدادات'!$B$5)))</x:f>
      </x:c>
      <x:c r="M44" s="55" t="str">
        <x:f>IF(A44="","",K44*L44)</x:f>
      </x:c>
      <x:c r="N44" s="56"/>
      <x:c r="O44" s="56"/>
      <x:c r="P44" s="56"/>
      <x:c r="Q44" s="55" t="str">
        <x:f>IF(A44="","",MAX(0,M44-N44+O44))</x:f>
      </x:c>
      <x:c r="R44" s="55" t="str">
        <x:f>IF(A44="","",I44*'المخزون'!$L$6+J44*'المخزون'!$L$7)</x:f>
      </x:c>
      <x:c r="S44" s="55" t="str">
        <x:f>IF(A44="","",Q44-R44-P44)</x:f>
      </x:c>
      <x:c r="T44" s="41"/>
      <x:c r="U44" s="41"/>
      <x:c r="V44" s="56"/>
      <x:c r="W44" s="55" t="str">
        <x:f>IF(A44="","",MAX(0,Q44-V44))</x:f>
      </x:c>
      <x:c r="X44" s="41"/>
      <x:c r="Y44" s="41"/>
      <x:c r="Z44" s="48"/>
      <x:c r="AA44" s="48"/>
      <x:c r="AB44" s="41"/>
      <x:c r="AC44" s="41"/>
      <x:c r="AD44" s="41"/>
      <x:c r="AE44" s="48"/>
      <x:c r="AF44" s="41"/>
      <x:c r="AG44" s="58" t="str">
        <x:f>IF(A44="","",IFERROR(VLOOKUP(A44,'الفيدباك'!$C$7:$G$206,5,FALSE),""))</x:f>
      </x:c>
      <x:c r="AH44" s="42" t="str">
        <x:f>IF(A44="","",IFERROR(VLOOKUP(A44,'الفيدباك'!$C$7:$L$206,10,FALSE),""))</x:f>
      </x:c>
      <x:c r="AI44" s="41"/>
      <x:c r="AJ44" s="42" t="str">
        <x:f>IF(A44="","",IF(A44="مثال-احذفه","صف توضيحي - احذفه قبل البدء",IF(X44="","حدّث حالة الطلب",IF(AND(X44&lt;&gt;"تم التوصيل",X44&lt;&gt;"ملغي",X44&lt;&gt;"مرتجع",Z44&lt;&gt;"",Z44&lt;TODAY()),"متأخر عن موعد التوصيل",IF(AND(X44="تم التوصيل",W44&gt;0),"حصّل المبلغ المتبقي",IF(AND(X44="تم التوصيل",AD44="موافق",OR(AF44="",AF44="لم يُطلب")),"ابعت لينك الفيدباك",IF(AND(AF44="تم إرسال الرابط",AE44&lt;&gt;"",TODAY()-AE44&gt;=3),"تابع الفيدباك","لا يوجد إجراء عاجل")))))))</x:f>
      </x:c>
    </x:row>
    <x:row r="45" ht="31" customHeight="1">
      <x:c r="A45" s="41"/>
      <x:c r="B45" s="46"/>
      <x:c r="C45" s="41"/>
      <x:c r="D45" s="41"/>
      <x:c r="E45" s="50"/>
      <x:c r="F45" s="41"/>
      <x:c r="G45" s="41"/>
      <x:c r="H45" s="41"/>
      <x:c r="I45" s="52"/>
      <x:c r="J45" s="52"/>
      <x:c r="K45" s="53" t="str">
        <x:f>IF(A45="","",I45+J45)</x:f>
      </x:c>
      <x:c r="L45" s="55" t="str">
        <x:f>IF(A45="","",IF(H45="عرض 2 بـ120",'القوائم والإعدادات'!$B$6/2,IF(H45="عينة",0,'القوائم والإعدادات'!$B$5)))</x:f>
      </x:c>
      <x:c r="M45" s="55" t="str">
        <x:f>IF(A45="","",K45*L45)</x:f>
      </x:c>
      <x:c r="N45" s="56"/>
      <x:c r="O45" s="56"/>
      <x:c r="P45" s="56"/>
      <x:c r="Q45" s="55" t="str">
        <x:f>IF(A45="","",MAX(0,M45-N45+O45))</x:f>
      </x:c>
      <x:c r="R45" s="55" t="str">
        <x:f>IF(A45="","",I45*'المخزون'!$L$6+J45*'المخزون'!$L$7)</x:f>
      </x:c>
      <x:c r="S45" s="55" t="str">
        <x:f>IF(A45="","",Q45-R45-P45)</x:f>
      </x:c>
      <x:c r="T45" s="41"/>
      <x:c r="U45" s="41"/>
      <x:c r="V45" s="56"/>
      <x:c r="W45" s="55" t="str">
        <x:f>IF(A45="","",MAX(0,Q45-V45))</x:f>
      </x:c>
      <x:c r="X45" s="41"/>
      <x:c r="Y45" s="41"/>
      <x:c r="Z45" s="48"/>
      <x:c r="AA45" s="48"/>
      <x:c r="AB45" s="41"/>
      <x:c r="AC45" s="41"/>
      <x:c r="AD45" s="41"/>
      <x:c r="AE45" s="48"/>
      <x:c r="AF45" s="41"/>
      <x:c r="AG45" s="58" t="str">
        <x:f>IF(A45="","",IFERROR(VLOOKUP(A45,'الفيدباك'!$C$7:$G$206,5,FALSE),""))</x:f>
      </x:c>
      <x:c r="AH45" s="42" t="str">
        <x:f>IF(A45="","",IFERROR(VLOOKUP(A45,'الفيدباك'!$C$7:$L$206,10,FALSE),""))</x:f>
      </x:c>
      <x:c r="AI45" s="41"/>
      <x:c r="AJ45" s="42" t="str">
        <x:f>IF(A45="","",IF(A45="مثال-احذفه","صف توضيحي - احذفه قبل البدء",IF(X45="","حدّث حالة الطلب",IF(AND(X45&lt;&gt;"تم التوصيل",X45&lt;&gt;"ملغي",X45&lt;&gt;"مرتجع",Z45&lt;&gt;"",Z45&lt;TODAY()),"متأخر عن موعد التوصيل",IF(AND(X45="تم التوصيل",W45&gt;0),"حصّل المبلغ المتبقي",IF(AND(X45="تم التوصيل",AD45="موافق",OR(AF45="",AF45="لم يُطلب")),"ابعت لينك الفيدباك",IF(AND(AF45="تم إرسال الرابط",AE45&lt;&gt;"",TODAY()-AE45&gt;=3),"تابع الفيدباك","لا يوجد إجراء عاجل")))))))</x:f>
      </x:c>
    </x:row>
    <x:row r="46" ht="31" customHeight="1">
      <x:c r="A46" s="41"/>
      <x:c r="B46" s="46"/>
      <x:c r="C46" s="41"/>
      <x:c r="D46" s="41"/>
      <x:c r="E46" s="50"/>
      <x:c r="F46" s="41"/>
      <x:c r="G46" s="41"/>
      <x:c r="H46" s="41"/>
      <x:c r="I46" s="52"/>
      <x:c r="J46" s="52"/>
      <x:c r="K46" s="53" t="str">
        <x:f>IF(A46="","",I46+J46)</x:f>
      </x:c>
      <x:c r="L46" s="55" t="str">
        <x:f>IF(A46="","",IF(H46="عرض 2 بـ120",'القوائم والإعدادات'!$B$6/2,IF(H46="عينة",0,'القوائم والإعدادات'!$B$5)))</x:f>
      </x:c>
      <x:c r="M46" s="55" t="str">
        <x:f>IF(A46="","",K46*L46)</x:f>
      </x:c>
      <x:c r="N46" s="56"/>
      <x:c r="O46" s="56"/>
      <x:c r="P46" s="56"/>
      <x:c r="Q46" s="55" t="str">
        <x:f>IF(A46="","",MAX(0,M46-N46+O46))</x:f>
      </x:c>
      <x:c r="R46" s="55" t="str">
        <x:f>IF(A46="","",I46*'المخزون'!$L$6+J46*'المخزون'!$L$7)</x:f>
      </x:c>
      <x:c r="S46" s="55" t="str">
        <x:f>IF(A46="","",Q46-R46-P46)</x:f>
      </x:c>
      <x:c r="T46" s="41"/>
      <x:c r="U46" s="41"/>
      <x:c r="V46" s="56"/>
      <x:c r="W46" s="55" t="str">
        <x:f>IF(A46="","",MAX(0,Q46-V46))</x:f>
      </x:c>
      <x:c r="X46" s="41"/>
      <x:c r="Y46" s="41"/>
      <x:c r="Z46" s="48"/>
      <x:c r="AA46" s="48"/>
      <x:c r="AB46" s="41"/>
      <x:c r="AC46" s="41"/>
      <x:c r="AD46" s="41"/>
      <x:c r="AE46" s="48"/>
      <x:c r="AF46" s="41"/>
      <x:c r="AG46" s="58" t="str">
        <x:f>IF(A46="","",IFERROR(VLOOKUP(A46,'الفيدباك'!$C$7:$G$206,5,FALSE),""))</x:f>
      </x:c>
      <x:c r="AH46" s="42" t="str">
        <x:f>IF(A46="","",IFERROR(VLOOKUP(A46,'الفيدباك'!$C$7:$L$206,10,FALSE),""))</x:f>
      </x:c>
      <x:c r="AI46" s="41"/>
      <x:c r="AJ46" s="42" t="str">
        <x:f>IF(A46="","",IF(A46="مثال-احذفه","صف توضيحي - احذفه قبل البدء",IF(X46="","حدّث حالة الطلب",IF(AND(X46&lt;&gt;"تم التوصيل",X46&lt;&gt;"ملغي",X46&lt;&gt;"مرتجع",Z46&lt;&gt;"",Z46&lt;TODAY()),"متأخر عن موعد التوصيل",IF(AND(X46="تم التوصيل",W46&gt;0),"حصّل المبلغ المتبقي",IF(AND(X46="تم التوصيل",AD46="موافق",OR(AF46="",AF46="لم يُطلب")),"ابعت لينك الفيدباك",IF(AND(AF46="تم إرسال الرابط",AE46&lt;&gt;"",TODAY()-AE46&gt;=3),"تابع الفيدباك","لا يوجد إجراء عاجل")))))))</x:f>
      </x:c>
    </x:row>
    <x:row r="47" ht="31" customHeight="1">
      <x:c r="A47" s="41"/>
      <x:c r="B47" s="46"/>
      <x:c r="C47" s="41"/>
      <x:c r="D47" s="41"/>
      <x:c r="E47" s="50"/>
      <x:c r="F47" s="41"/>
      <x:c r="G47" s="41"/>
      <x:c r="H47" s="41"/>
      <x:c r="I47" s="52"/>
      <x:c r="J47" s="52"/>
      <x:c r="K47" s="53" t="str">
        <x:f>IF(A47="","",I47+J47)</x:f>
      </x:c>
      <x:c r="L47" s="55" t="str">
        <x:f>IF(A47="","",IF(H47="عرض 2 بـ120",'القوائم والإعدادات'!$B$6/2,IF(H47="عينة",0,'القوائم والإعدادات'!$B$5)))</x:f>
      </x:c>
      <x:c r="M47" s="55" t="str">
        <x:f>IF(A47="","",K47*L47)</x:f>
      </x:c>
      <x:c r="N47" s="56"/>
      <x:c r="O47" s="56"/>
      <x:c r="P47" s="56"/>
      <x:c r="Q47" s="55" t="str">
        <x:f>IF(A47="","",MAX(0,M47-N47+O47))</x:f>
      </x:c>
      <x:c r="R47" s="55" t="str">
        <x:f>IF(A47="","",I47*'المخزون'!$L$6+J47*'المخزون'!$L$7)</x:f>
      </x:c>
      <x:c r="S47" s="55" t="str">
        <x:f>IF(A47="","",Q47-R47-P47)</x:f>
      </x:c>
      <x:c r="T47" s="41"/>
      <x:c r="U47" s="41"/>
      <x:c r="V47" s="56"/>
      <x:c r="W47" s="55" t="str">
        <x:f>IF(A47="","",MAX(0,Q47-V47))</x:f>
      </x:c>
      <x:c r="X47" s="41"/>
      <x:c r="Y47" s="41"/>
      <x:c r="Z47" s="48"/>
      <x:c r="AA47" s="48"/>
      <x:c r="AB47" s="41"/>
      <x:c r="AC47" s="41"/>
      <x:c r="AD47" s="41"/>
      <x:c r="AE47" s="48"/>
      <x:c r="AF47" s="41"/>
      <x:c r="AG47" s="58" t="str">
        <x:f>IF(A47="","",IFERROR(VLOOKUP(A47,'الفيدباك'!$C$7:$G$206,5,FALSE),""))</x:f>
      </x:c>
      <x:c r="AH47" s="42" t="str">
        <x:f>IF(A47="","",IFERROR(VLOOKUP(A47,'الفيدباك'!$C$7:$L$206,10,FALSE),""))</x:f>
      </x:c>
      <x:c r="AI47" s="41"/>
      <x:c r="AJ47" s="42" t="str">
        <x:f>IF(A47="","",IF(A47="مثال-احذفه","صف توضيحي - احذفه قبل البدء",IF(X47="","حدّث حالة الطلب",IF(AND(X47&lt;&gt;"تم التوصيل",X47&lt;&gt;"ملغي",X47&lt;&gt;"مرتجع",Z47&lt;&gt;"",Z47&lt;TODAY()),"متأخر عن موعد التوصيل",IF(AND(X47="تم التوصيل",W47&gt;0),"حصّل المبلغ المتبقي",IF(AND(X47="تم التوصيل",AD47="موافق",OR(AF47="",AF47="لم يُطلب")),"ابعت لينك الفيدباك",IF(AND(AF47="تم إرسال الرابط",AE47&lt;&gt;"",TODAY()-AE47&gt;=3),"تابع الفيدباك","لا يوجد إجراء عاجل")))))))</x:f>
      </x:c>
    </x:row>
    <x:row r="48" ht="31" customHeight="1">
      <x:c r="A48" s="41"/>
      <x:c r="B48" s="46"/>
      <x:c r="C48" s="41"/>
      <x:c r="D48" s="41"/>
      <x:c r="E48" s="50"/>
      <x:c r="F48" s="41"/>
      <x:c r="G48" s="41"/>
      <x:c r="H48" s="41"/>
      <x:c r="I48" s="52"/>
      <x:c r="J48" s="52"/>
      <x:c r="K48" s="53" t="str">
        <x:f>IF(A48="","",I48+J48)</x:f>
      </x:c>
      <x:c r="L48" s="55" t="str">
        <x:f>IF(A48="","",IF(H48="عرض 2 بـ120",'القوائم والإعدادات'!$B$6/2,IF(H48="عينة",0,'القوائم والإعدادات'!$B$5)))</x:f>
      </x:c>
      <x:c r="M48" s="55" t="str">
        <x:f>IF(A48="","",K48*L48)</x:f>
      </x:c>
      <x:c r="N48" s="56"/>
      <x:c r="O48" s="56"/>
      <x:c r="P48" s="56"/>
      <x:c r="Q48" s="55" t="str">
        <x:f>IF(A48="","",MAX(0,M48-N48+O48))</x:f>
      </x:c>
      <x:c r="R48" s="55" t="str">
        <x:f>IF(A48="","",I48*'المخزون'!$L$6+J48*'المخزون'!$L$7)</x:f>
      </x:c>
      <x:c r="S48" s="55" t="str">
        <x:f>IF(A48="","",Q48-R48-P48)</x:f>
      </x:c>
      <x:c r="T48" s="41"/>
      <x:c r="U48" s="41"/>
      <x:c r="V48" s="56"/>
      <x:c r="W48" s="55" t="str">
        <x:f>IF(A48="","",MAX(0,Q48-V48))</x:f>
      </x:c>
      <x:c r="X48" s="41"/>
      <x:c r="Y48" s="41"/>
      <x:c r="Z48" s="48"/>
      <x:c r="AA48" s="48"/>
      <x:c r="AB48" s="41"/>
      <x:c r="AC48" s="41"/>
      <x:c r="AD48" s="41"/>
      <x:c r="AE48" s="48"/>
      <x:c r="AF48" s="41"/>
      <x:c r="AG48" s="58" t="str">
        <x:f>IF(A48="","",IFERROR(VLOOKUP(A48,'الفيدباك'!$C$7:$G$206,5,FALSE),""))</x:f>
      </x:c>
      <x:c r="AH48" s="42" t="str">
        <x:f>IF(A48="","",IFERROR(VLOOKUP(A48,'الفيدباك'!$C$7:$L$206,10,FALSE),""))</x:f>
      </x:c>
      <x:c r="AI48" s="41"/>
      <x:c r="AJ48" s="42" t="str">
        <x:f>IF(A48="","",IF(A48="مثال-احذفه","صف توضيحي - احذفه قبل البدء",IF(X48="","حدّث حالة الطلب",IF(AND(X48&lt;&gt;"تم التوصيل",X48&lt;&gt;"ملغي",X48&lt;&gt;"مرتجع",Z48&lt;&gt;"",Z48&lt;TODAY()),"متأخر عن موعد التوصيل",IF(AND(X48="تم التوصيل",W48&gt;0),"حصّل المبلغ المتبقي",IF(AND(X48="تم التوصيل",AD48="موافق",OR(AF48="",AF48="لم يُطلب")),"ابعت لينك الفيدباك",IF(AND(AF48="تم إرسال الرابط",AE48&lt;&gt;"",TODAY()-AE48&gt;=3),"تابع الفيدباك","لا يوجد إجراء عاجل")))))))</x:f>
      </x:c>
    </x:row>
    <x:row r="49" ht="31" customHeight="1">
      <x:c r="A49" s="41"/>
      <x:c r="B49" s="46"/>
      <x:c r="C49" s="41"/>
      <x:c r="D49" s="41"/>
      <x:c r="E49" s="50"/>
      <x:c r="F49" s="41"/>
      <x:c r="G49" s="41"/>
      <x:c r="H49" s="41"/>
      <x:c r="I49" s="52"/>
      <x:c r="J49" s="52"/>
      <x:c r="K49" s="53" t="str">
        <x:f>IF(A49="","",I49+J49)</x:f>
      </x:c>
      <x:c r="L49" s="55" t="str">
        <x:f>IF(A49="","",IF(H49="عرض 2 بـ120",'القوائم والإعدادات'!$B$6/2,IF(H49="عينة",0,'القوائم والإعدادات'!$B$5)))</x:f>
      </x:c>
      <x:c r="M49" s="55" t="str">
        <x:f>IF(A49="","",K49*L49)</x:f>
      </x:c>
      <x:c r="N49" s="56"/>
      <x:c r="O49" s="56"/>
      <x:c r="P49" s="56"/>
      <x:c r="Q49" s="55" t="str">
        <x:f>IF(A49="","",MAX(0,M49-N49+O49))</x:f>
      </x:c>
      <x:c r="R49" s="55" t="str">
        <x:f>IF(A49="","",I49*'المخزون'!$L$6+J49*'المخزون'!$L$7)</x:f>
      </x:c>
      <x:c r="S49" s="55" t="str">
        <x:f>IF(A49="","",Q49-R49-P49)</x:f>
      </x:c>
      <x:c r="T49" s="41"/>
      <x:c r="U49" s="41"/>
      <x:c r="V49" s="56"/>
      <x:c r="W49" s="55" t="str">
        <x:f>IF(A49="","",MAX(0,Q49-V49))</x:f>
      </x:c>
      <x:c r="X49" s="41"/>
      <x:c r="Y49" s="41"/>
      <x:c r="Z49" s="48"/>
      <x:c r="AA49" s="48"/>
      <x:c r="AB49" s="41"/>
      <x:c r="AC49" s="41"/>
      <x:c r="AD49" s="41"/>
      <x:c r="AE49" s="48"/>
      <x:c r="AF49" s="41"/>
      <x:c r="AG49" s="58" t="str">
        <x:f>IF(A49="","",IFERROR(VLOOKUP(A49,'الفيدباك'!$C$7:$G$206,5,FALSE),""))</x:f>
      </x:c>
      <x:c r="AH49" s="42" t="str">
        <x:f>IF(A49="","",IFERROR(VLOOKUP(A49,'الفيدباك'!$C$7:$L$206,10,FALSE),""))</x:f>
      </x:c>
      <x:c r="AI49" s="41"/>
      <x:c r="AJ49" s="42" t="str">
        <x:f>IF(A49="","",IF(A49="مثال-احذفه","صف توضيحي - احذفه قبل البدء",IF(X49="","حدّث حالة الطلب",IF(AND(X49&lt;&gt;"تم التوصيل",X49&lt;&gt;"ملغي",X49&lt;&gt;"مرتجع",Z49&lt;&gt;"",Z49&lt;TODAY()),"متأخر عن موعد التوصيل",IF(AND(X49="تم التوصيل",W49&gt;0),"حصّل المبلغ المتبقي",IF(AND(X49="تم التوصيل",AD49="موافق",OR(AF49="",AF49="لم يُطلب")),"ابعت لينك الفيدباك",IF(AND(AF49="تم إرسال الرابط",AE49&lt;&gt;"",TODAY()-AE49&gt;=3),"تابع الفيدباك","لا يوجد إجراء عاجل")))))))</x:f>
      </x:c>
    </x:row>
    <x:row r="50" ht="31" customHeight="1">
      <x:c r="A50" s="41"/>
      <x:c r="B50" s="46"/>
      <x:c r="C50" s="41"/>
      <x:c r="D50" s="41"/>
      <x:c r="E50" s="50"/>
      <x:c r="F50" s="41"/>
      <x:c r="G50" s="41"/>
      <x:c r="H50" s="41"/>
      <x:c r="I50" s="52"/>
      <x:c r="J50" s="52"/>
      <x:c r="K50" s="53" t="str">
        <x:f>IF(A50="","",I50+J50)</x:f>
      </x:c>
      <x:c r="L50" s="55" t="str">
        <x:f>IF(A50="","",IF(H50="عرض 2 بـ120",'القوائم والإعدادات'!$B$6/2,IF(H50="عينة",0,'القوائم والإعدادات'!$B$5)))</x:f>
      </x:c>
      <x:c r="M50" s="55" t="str">
        <x:f>IF(A50="","",K50*L50)</x:f>
      </x:c>
      <x:c r="N50" s="56"/>
      <x:c r="O50" s="56"/>
      <x:c r="P50" s="56"/>
      <x:c r="Q50" s="55" t="str">
        <x:f>IF(A50="","",MAX(0,M50-N50+O50))</x:f>
      </x:c>
      <x:c r="R50" s="55" t="str">
        <x:f>IF(A50="","",I50*'المخزون'!$L$6+J50*'المخزون'!$L$7)</x:f>
      </x:c>
      <x:c r="S50" s="55" t="str">
        <x:f>IF(A50="","",Q50-R50-P50)</x:f>
      </x:c>
      <x:c r="T50" s="41"/>
      <x:c r="U50" s="41"/>
      <x:c r="V50" s="56"/>
      <x:c r="W50" s="55" t="str">
        <x:f>IF(A50="","",MAX(0,Q50-V50))</x:f>
      </x:c>
      <x:c r="X50" s="41"/>
      <x:c r="Y50" s="41"/>
      <x:c r="Z50" s="48"/>
      <x:c r="AA50" s="48"/>
      <x:c r="AB50" s="41"/>
      <x:c r="AC50" s="41"/>
      <x:c r="AD50" s="41"/>
      <x:c r="AE50" s="48"/>
      <x:c r="AF50" s="41"/>
      <x:c r="AG50" s="58" t="str">
        <x:f>IF(A50="","",IFERROR(VLOOKUP(A50,'الفيدباك'!$C$7:$G$206,5,FALSE),""))</x:f>
      </x:c>
      <x:c r="AH50" s="42" t="str">
        <x:f>IF(A50="","",IFERROR(VLOOKUP(A50,'الفيدباك'!$C$7:$L$206,10,FALSE),""))</x:f>
      </x:c>
      <x:c r="AI50" s="41"/>
      <x:c r="AJ50" s="42" t="str">
        <x:f>IF(A50="","",IF(A50="مثال-احذفه","صف توضيحي - احذفه قبل البدء",IF(X50="","حدّث حالة الطلب",IF(AND(X50&lt;&gt;"تم التوصيل",X50&lt;&gt;"ملغي",X50&lt;&gt;"مرتجع",Z50&lt;&gt;"",Z50&lt;TODAY()),"متأخر عن موعد التوصيل",IF(AND(X50="تم التوصيل",W50&gt;0),"حصّل المبلغ المتبقي",IF(AND(X50="تم التوصيل",AD50="موافق",OR(AF50="",AF50="لم يُطلب")),"ابعت لينك الفيدباك",IF(AND(AF50="تم إرسال الرابط",AE50&lt;&gt;"",TODAY()-AE50&gt;=3),"تابع الفيدباك","لا يوجد إجراء عاجل")))))))</x:f>
      </x:c>
    </x:row>
    <x:row r="51" ht="31" customHeight="1">
      <x:c r="A51" s="41"/>
      <x:c r="B51" s="46"/>
      <x:c r="C51" s="41"/>
      <x:c r="D51" s="41"/>
      <x:c r="E51" s="50"/>
      <x:c r="F51" s="41"/>
      <x:c r="G51" s="41"/>
      <x:c r="H51" s="41"/>
      <x:c r="I51" s="52"/>
      <x:c r="J51" s="52"/>
      <x:c r="K51" s="53" t="str">
        <x:f>IF(A51="","",I51+J51)</x:f>
      </x:c>
      <x:c r="L51" s="55" t="str">
        <x:f>IF(A51="","",IF(H51="عرض 2 بـ120",'القوائم والإعدادات'!$B$6/2,IF(H51="عينة",0,'القوائم والإعدادات'!$B$5)))</x:f>
      </x:c>
      <x:c r="M51" s="55" t="str">
        <x:f>IF(A51="","",K51*L51)</x:f>
      </x:c>
      <x:c r="N51" s="56"/>
      <x:c r="O51" s="56"/>
      <x:c r="P51" s="56"/>
      <x:c r="Q51" s="55" t="str">
        <x:f>IF(A51="","",MAX(0,M51-N51+O51))</x:f>
      </x:c>
      <x:c r="R51" s="55" t="str">
        <x:f>IF(A51="","",I51*'المخزون'!$L$6+J51*'المخزون'!$L$7)</x:f>
      </x:c>
      <x:c r="S51" s="55" t="str">
        <x:f>IF(A51="","",Q51-R51-P51)</x:f>
      </x:c>
      <x:c r="T51" s="41"/>
      <x:c r="U51" s="41"/>
      <x:c r="V51" s="56"/>
      <x:c r="W51" s="55" t="str">
        <x:f>IF(A51="","",MAX(0,Q51-V51))</x:f>
      </x:c>
      <x:c r="X51" s="41"/>
      <x:c r="Y51" s="41"/>
      <x:c r="Z51" s="48"/>
      <x:c r="AA51" s="48"/>
      <x:c r="AB51" s="41"/>
      <x:c r="AC51" s="41"/>
      <x:c r="AD51" s="41"/>
      <x:c r="AE51" s="48"/>
      <x:c r="AF51" s="41"/>
      <x:c r="AG51" s="58" t="str">
        <x:f>IF(A51="","",IFERROR(VLOOKUP(A51,'الفيدباك'!$C$7:$G$206,5,FALSE),""))</x:f>
      </x:c>
      <x:c r="AH51" s="42" t="str">
        <x:f>IF(A51="","",IFERROR(VLOOKUP(A51,'الفيدباك'!$C$7:$L$206,10,FALSE),""))</x:f>
      </x:c>
      <x:c r="AI51" s="41"/>
      <x:c r="AJ51" s="42" t="str">
        <x:f>IF(A51="","",IF(A51="مثال-احذفه","صف توضيحي - احذفه قبل البدء",IF(X51="","حدّث حالة الطلب",IF(AND(X51&lt;&gt;"تم التوصيل",X51&lt;&gt;"ملغي",X51&lt;&gt;"مرتجع",Z51&lt;&gt;"",Z51&lt;TODAY()),"متأخر عن موعد التوصيل",IF(AND(X51="تم التوصيل",W51&gt;0),"حصّل المبلغ المتبقي",IF(AND(X51="تم التوصيل",AD51="موافق",OR(AF51="",AF51="لم يُطلب")),"ابعت لينك الفيدباك",IF(AND(AF51="تم إرسال الرابط",AE51&lt;&gt;"",TODAY()-AE51&gt;=3),"تابع الفيدباك","لا يوجد إجراء عاجل")))))))</x:f>
      </x:c>
    </x:row>
    <x:row r="52" ht="31" customHeight="1">
      <x:c r="A52" s="41"/>
      <x:c r="B52" s="46"/>
      <x:c r="C52" s="41"/>
      <x:c r="D52" s="41"/>
      <x:c r="E52" s="50"/>
      <x:c r="F52" s="41"/>
      <x:c r="G52" s="41"/>
      <x:c r="H52" s="41"/>
      <x:c r="I52" s="52"/>
      <x:c r="J52" s="52"/>
      <x:c r="K52" s="53" t="str">
        <x:f>IF(A52="","",I52+J52)</x:f>
      </x:c>
      <x:c r="L52" s="55" t="str">
        <x:f>IF(A52="","",IF(H52="عرض 2 بـ120",'القوائم والإعدادات'!$B$6/2,IF(H52="عينة",0,'القوائم والإعدادات'!$B$5)))</x:f>
      </x:c>
      <x:c r="M52" s="55" t="str">
        <x:f>IF(A52="","",K52*L52)</x:f>
      </x:c>
      <x:c r="N52" s="56"/>
      <x:c r="O52" s="56"/>
      <x:c r="P52" s="56"/>
      <x:c r="Q52" s="55" t="str">
        <x:f>IF(A52="","",MAX(0,M52-N52+O52))</x:f>
      </x:c>
      <x:c r="R52" s="55" t="str">
        <x:f>IF(A52="","",I52*'المخزون'!$L$6+J52*'المخزون'!$L$7)</x:f>
      </x:c>
      <x:c r="S52" s="55" t="str">
        <x:f>IF(A52="","",Q52-R52-P52)</x:f>
      </x:c>
      <x:c r="T52" s="41"/>
      <x:c r="U52" s="41"/>
      <x:c r="V52" s="56"/>
      <x:c r="W52" s="55" t="str">
        <x:f>IF(A52="","",MAX(0,Q52-V52))</x:f>
      </x:c>
      <x:c r="X52" s="41"/>
      <x:c r="Y52" s="41"/>
      <x:c r="Z52" s="48"/>
      <x:c r="AA52" s="48"/>
      <x:c r="AB52" s="41"/>
      <x:c r="AC52" s="41"/>
      <x:c r="AD52" s="41"/>
      <x:c r="AE52" s="48"/>
      <x:c r="AF52" s="41"/>
      <x:c r="AG52" s="58" t="str">
        <x:f>IF(A52="","",IFERROR(VLOOKUP(A52,'الفيدباك'!$C$7:$G$206,5,FALSE),""))</x:f>
      </x:c>
      <x:c r="AH52" s="42" t="str">
        <x:f>IF(A52="","",IFERROR(VLOOKUP(A52,'الفيدباك'!$C$7:$L$206,10,FALSE),""))</x:f>
      </x:c>
      <x:c r="AI52" s="41"/>
      <x:c r="AJ52" s="42" t="str">
        <x:f>IF(A52="","",IF(A52="مثال-احذفه","صف توضيحي - احذفه قبل البدء",IF(X52="","حدّث حالة الطلب",IF(AND(X52&lt;&gt;"تم التوصيل",X52&lt;&gt;"ملغي",X52&lt;&gt;"مرتجع",Z52&lt;&gt;"",Z52&lt;TODAY()),"متأخر عن موعد التوصيل",IF(AND(X52="تم التوصيل",W52&gt;0),"حصّل المبلغ المتبقي",IF(AND(X52="تم التوصيل",AD52="موافق",OR(AF52="",AF52="لم يُطلب")),"ابعت لينك الفيدباك",IF(AND(AF52="تم إرسال الرابط",AE52&lt;&gt;"",TODAY()-AE52&gt;=3),"تابع الفيدباك","لا يوجد إجراء عاجل")))))))</x:f>
      </x:c>
    </x:row>
    <x:row r="53" ht="31" customHeight="1">
      <x:c r="A53" s="41"/>
      <x:c r="B53" s="46"/>
      <x:c r="C53" s="41"/>
      <x:c r="D53" s="41"/>
      <x:c r="E53" s="50"/>
      <x:c r="F53" s="41"/>
      <x:c r="G53" s="41"/>
      <x:c r="H53" s="41"/>
      <x:c r="I53" s="52"/>
      <x:c r="J53" s="52"/>
      <x:c r="K53" s="53" t="str">
        <x:f>IF(A53="","",I53+J53)</x:f>
      </x:c>
      <x:c r="L53" s="55" t="str">
        <x:f>IF(A53="","",IF(H53="عرض 2 بـ120",'القوائم والإعدادات'!$B$6/2,IF(H53="عينة",0,'القوائم والإعدادات'!$B$5)))</x:f>
      </x:c>
      <x:c r="M53" s="55" t="str">
        <x:f>IF(A53="","",K53*L53)</x:f>
      </x:c>
      <x:c r="N53" s="56"/>
      <x:c r="O53" s="56"/>
      <x:c r="P53" s="56"/>
      <x:c r="Q53" s="55" t="str">
        <x:f>IF(A53="","",MAX(0,M53-N53+O53))</x:f>
      </x:c>
      <x:c r="R53" s="55" t="str">
        <x:f>IF(A53="","",I53*'المخزون'!$L$6+J53*'المخزون'!$L$7)</x:f>
      </x:c>
      <x:c r="S53" s="55" t="str">
        <x:f>IF(A53="","",Q53-R53-P53)</x:f>
      </x:c>
      <x:c r="T53" s="41"/>
      <x:c r="U53" s="41"/>
      <x:c r="V53" s="56"/>
      <x:c r="W53" s="55" t="str">
        <x:f>IF(A53="","",MAX(0,Q53-V53))</x:f>
      </x:c>
      <x:c r="X53" s="41"/>
      <x:c r="Y53" s="41"/>
      <x:c r="Z53" s="48"/>
      <x:c r="AA53" s="48"/>
      <x:c r="AB53" s="41"/>
      <x:c r="AC53" s="41"/>
      <x:c r="AD53" s="41"/>
      <x:c r="AE53" s="48"/>
      <x:c r="AF53" s="41"/>
      <x:c r="AG53" s="58" t="str">
        <x:f>IF(A53="","",IFERROR(VLOOKUP(A53,'الفيدباك'!$C$7:$G$206,5,FALSE),""))</x:f>
      </x:c>
      <x:c r="AH53" s="42" t="str">
        <x:f>IF(A53="","",IFERROR(VLOOKUP(A53,'الفيدباك'!$C$7:$L$206,10,FALSE),""))</x:f>
      </x:c>
      <x:c r="AI53" s="41"/>
      <x:c r="AJ53" s="42" t="str">
        <x:f>IF(A53="","",IF(A53="مثال-احذفه","صف توضيحي - احذفه قبل البدء",IF(X53="","حدّث حالة الطلب",IF(AND(X53&lt;&gt;"تم التوصيل",X53&lt;&gt;"ملغي",X53&lt;&gt;"مرتجع",Z53&lt;&gt;"",Z53&lt;TODAY()),"متأخر عن موعد التوصيل",IF(AND(X53="تم التوصيل",W53&gt;0),"حصّل المبلغ المتبقي",IF(AND(X53="تم التوصيل",AD53="موافق",OR(AF53="",AF53="لم يُطلب")),"ابعت لينك الفيدباك",IF(AND(AF53="تم إرسال الرابط",AE53&lt;&gt;"",TODAY()-AE53&gt;=3),"تابع الفيدباك","لا يوجد إجراء عاجل")))))))</x:f>
      </x:c>
    </x:row>
    <x:row r="54" ht="31" customHeight="1">
      <x:c r="A54" s="41"/>
      <x:c r="B54" s="46"/>
      <x:c r="C54" s="41"/>
      <x:c r="D54" s="41"/>
      <x:c r="E54" s="50"/>
      <x:c r="F54" s="41"/>
      <x:c r="G54" s="41"/>
      <x:c r="H54" s="41"/>
      <x:c r="I54" s="52"/>
      <x:c r="J54" s="52"/>
      <x:c r="K54" s="53" t="str">
        <x:f>IF(A54="","",I54+J54)</x:f>
      </x:c>
      <x:c r="L54" s="55" t="str">
        <x:f>IF(A54="","",IF(H54="عرض 2 بـ120",'القوائم والإعدادات'!$B$6/2,IF(H54="عينة",0,'القوائم والإعدادات'!$B$5)))</x:f>
      </x:c>
      <x:c r="M54" s="55" t="str">
        <x:f>IF(A54="","",K54*L54)</x:f>
      </x:c>
      <x:c r="N54" s="56"/>
      <x:c r="O54" s="56"/>
      <x:c r="P54" s="56"/>
      <x:c r="Q54" s="55" t="str">
        <x:f>IF(A54="","",MAX(0,M54-N54+O54))</x:f>
      </x:c>
      <x:c r="R54" s="55" t="str">
        <x:f>IF(A54="","",I54*'المخزون'!$L$6+J54*'المخزون'!$L$7)</x:f>
      </x:c>
      <x:c r="S54" s="55" t="str">
        <x:f>IF(A54="","",Q54-R54-P54)</x:f>
      </x:c>
      <x:c r="T54" s="41"/>
      <x:c r="U54" s="41"/>
      <x:c r="V54" s="56"/>
      <x:c r="W54" s="55" t="str">
        <x:f>IF(A54="","",MAX(0,Q54-V54))</x:f>
      </x:c>
      <x:c r="X54" s="41"/>
      <x:c r="Y54" s="41"/>
      <x:c r="Z54" s="48"/>
      <x:c r="AA54" s="48"/>
      <x:c r="AB54" s="41"/>
      <x:c r="AC54" s="41"/>
      <x:c r="AD54" s="41"/>
      <x:c r="AE54" s="48"/>
      <x:c r="AF54" s="41"/>
      <x:c r="AG54" s="58" t="str">
        <x:f>IF(A54="","",IFERROR(VLOOKUP(A54,'الفيدباك'!$C$7:$G$206,5,FALSE),""))</x:f>
      </x:c>
      <x:c r="AH54" s="42" t="str">
        <x:f>IF(A54="","",IFERROR(VLOOKUP(A54,'الفيدباك'!$C$7:$L$206,10,FALSE),""))</x:f>
      </x:c>
      <x:c r="AI54" s="41"/>
      <x:c r="AJ54" s="42" t="str">
        <x:f>IF(A54="","",IF(A54="مثال-احذفه","صف توضيحي - احذفه قبل البدء",IF(X54="","حدّث حالة الطلب",IF(AND(X54&lt;&gt;"تم التوصيل",X54&lt;&gt;"ملغي",X54&lt;&gt;"مرتجع",Z54&lt;&gt;"",Z54&lt;TODAY()),"متأخر عن موعد التوصيل",IF(AND(X54="تم التوصيل",W54&gt;0),"حصّل المبلغ المتبقي",IF(AND(X54="تم التوصيل",AD54="موافق",OR(AF54="",AF54="لم يُطلب")),"ابعت لينك الفيدباك",IF(AND(AF54="تم إرسال الرابط",AE54&lt;&gt;"",TODAY()-AE54&gt;=3),"تابع الفيدباك","لا يوجد إجراء عاجل")))))))</x:f>
      </x:c>
    </x:row>
    <x:row r="55" ht="31" customHeight="1">
      <x:c r="A55" s="41"/>
      <x:c r="B55" s="46"/>
      <x:c r="C55" s="41"/>
      <x:c r="D55" s="41"/>
      <x:c r="E55" s="50"/>
      <x:c r="F55" s="41"/>
      <x:c r="G55" s="41"/>
      <x:c r="H55" s="41"/>
      <x:c r="I55" s="52"/>
      <x:c r="J55" s="52"/>
      <x:c r="K55" s="53" t="str">
        <x:f>IF(A55="","",I55+J55)</x:f>
      </x:c>
      <x:c r="L55" s="55" t="str">
        <x:f>IF(A55="","",IF(H55="عرض 2 بـ120",'القوائم والإعدادات'!$B$6/2,IF(H55="عينة",0,'القوائم والإعدادات'!$B$5)))</x:f>
      </x:c>
      <x:c r="M55" s="55" t="str">
        <x:f>IF(A55="","",K55*L55)</x:f>
      </x:c>
      <x:c r="N55" s="56"/>
      <x:c r="O55" s="56"/>
      <x:c r="P55" s="56"/>
      <x:c r="Q55" s="55" t="str">
        <x:f>IF(A55="","",MAX(0,M55-N55+O55))</x:f>
      </x:c>
      <x:c r="R55" s="55" t="str">
        <x:f>IF(A55="","",I55*'المخزون'!$L$6+J55*'المخزون'!$L$7)</x:f>
      </x:c>
      <x:c r="S55" s="55" t="str">
        <x:f>IF(A55="","",Q55-R55-P55)</x:f>
      </x:c>
      <x:c r="T55" s="41"/>
      <x:c r="U55" s="41"/>
      <x:c r="V55" s="56"/>
      <x:c r="W55" s="55" t="str">
        <x:f>IF(A55="","",MAX(0,Q55-V55))</x:f>
      </x:c>
      <x:c r="X55" s="41"/>
      <x:c r="Y55" s="41"/>
      <x:c r="Z55" s="48"/>
      <x:c r="AA55" s="48"/>
      <x:c r="AB55" s="41"/>
      <x:c r="AC55" s="41"/>
      <x:c r="AD55" s="41"/>
      <x:c r="AE55" s="48"/>
      <x:c r="AF55" s="41"/>
      <x:c r="AG55" s="58" t="str">
        <x:f>IF(A55="","",IFERROR(VLOOKUP(A55,'الفيدباك'!$C$7:$G$206,5,FALSE),""))</x:f>
      </x:c>
      <x:c r="AH55" s="42" t="str">
        <x:f>IF(A55="","",IFERROR(VLOOKUP(A55,'الفيدباك'!$C$7:$L$206,10,FALSE),""))</x:f>
      </x:c>
      <x:c r="AI55" s="41"/>
      <x:c r="AJ55" s="42" t="str">
        <x:f>IF(A55="","",IF(A55="مثال-احذفه","صف توضيحي - احذفه قبل البدء",IF(X55="","حدّث حالة الطلب",IF(AND(X55&lt;&gt;"تم التوصيل",X55&lt;&gt;"ملغي",X55&lt;&gt;"مرتجع",Z55&lt;&gt;"",Z55&lt;TODAY()),"متأخر عن موعد التوصيل",IF(AND(X55="تم التوصيل",W55&gt;0),"حصّل المبلغ المتبقي",IF(AND(X55="تم التوصيل",AD55="موافق",OR(AF55="",AF55="لم يُطلب")),"ابعت لينك الفيدباك",IF(AND(AF55="تم إرسال الرابط",AE55&lt;&gt;"",TODAY()-AE55&gt;=3),"تابع الفيدباك","لا يوجد إجراء عاجل")))))))</x:f>
      </x:c>
    </x:row>
    <x:row r="56" ht="31" customHeight="1">
      <x:c r="A56" s="41"/>
      <x:c r="B56" s="46"/>
      <x:c r="C56" s="41"/>
      <x:c r="D56" s="41"/>
      <x:c r="E56" s="50"/>
      <x:c r="F56" s="41"/>
      <x:c r="G56" s="41"/>
      <x:c r="H56" s="41"/>
      <x:c r="I56" s="52"/>
      <x:c r="J56" s="52"/>
      <x:c r="K56" s="53" t="str">
        <x:f>IF(A56="","",I56+J56)</x:f>
      </x:c>
      <x:c r="L56" s="55" t="str">
        <x:f>IF(A56="","",IF(H56="عرض 2 بـ120",'القوائم والإعدادات'!$B$6/2,IF(H56="عينة",0,'القوائم والإعدادات'!$B$5)))</x:f>
      </x:c>
      <x:c r="M56" s="55" t="str">
        <x:f>IF(A56="","",K56*L56)</x:f>
      </x:c>
      <x:c r="N56" s="56"/>
      <x:c r="O56" s="56"/>
      <x:c r="P56" s="56"/>
      <x:c r="Q56" s="55" t="str">
        <x:f>IF(A56="","",MAX(0,M56-N56+O56))</x:f>
      </x:c>
      <x:c r="R56" s="55" t="str">
        <x:f>IF(A56="","",I56*'المخزون'!$L$6+J56*'المخزون'!$L$7)</x:f>
      </x:c>
      <x:c r="S56" s="55" t="str">
        <x:f>IF(A56="","",Q56-R56-P56)</x:f>
      </x:c>
      <x:c r="T56" s="41"/>
      <x:c r="U56" s="41"/>
      <x:c r="V56" s="56"/>
      <x:c r="W56" s="55" t="str">
        <x:f>IF(A56="","",MAX(0,Q56-V56))</x:f>
      </x:c>
      <x:c r="X56" s="41"/>
      <x:c r="Y56" s="41"/>
      <x:c r="Z56" s="48"/>
      <x:c r="AA56" s="48"/>
      <x:c r="AB56" s="41"/>
      <x:c r="AC56" s="41"/>
      <x:c r="AD56" s="41"/>
      <x:c r="AE56" s="48"/>
      <x:c r="AF56" s="41"/>
      <x:c r="AG56" s="58" t="str">
        <x:f>IF(A56="","",IFERROR(VLOOKUP(A56,'الفيدباك'!$C$7:$G$206,5,FALSE),""))</x:f>
      </x:c>
      <x:c r="AH56" s="42" t="str">
        <x:f>IF(A56="","",IFERROR(VLOOKUP(A56,'الفيدباك'!$C$7:$L$206,10,FALSE),""))</x:f>
      </x:c>
      <x:c r="AI56" s="41"/>
      <x:c r="AJ56" s="42" t="str">
        <x:f>IF(A56="","",IF(A56="مثال-احذفه","صف توضيحي - احذفه قبل البدء",IF(X56="","حدّث حالة الطلب",IF(AND(X56&lt;&gt;"تم التوصيل",X56&lt;&gt;"ملغي",X56&lt;&gt;"مرتجع",Z56&lt;&gt;"",Z56&lt;TODAY()),"متأخر عن موعد التوصيل",IF(AND(X56="تم التوصيل",W56&gt;0),"حصّل المبلغ المتبقي",IF(AND(X56="تم التوصيل",AD56="موافق",OR(AF56="",AF56="لم يُطلب")),"ابعت لينك الفيدباك",IF(AND(AF56="تم إرسال الرابط",AE56&lt;&gt;"",TODAY()-AE56&gt;=3),"تابع الفيدباك","لا يوجد إجراء عاجل")))))))</x:f>
      </x:c>
    </x:row>
    <x:row r="57" ht="31" customHeight="1">
      <x:c r="A57" s="41"/>
      <x:c r="B57" s="46"/>
      <x:c r="C57" s="41"/>
      <x:c r="D57" s="41"/>
      <x:c r="E57" s="50"/>
      <x:c r="F57" s="41"/>
      <x:c r="G57" s="41"/>
      <x:c r="H57" s="41"/>
      <x:c r="I57" s="52"/>
      <x:c r="J57" s="52"/>
      <x:c r="K57" s="53" t="str">
        <x:f>IF(A57="","",I57+J57)</x:f>
      </x:c>
      <x:c r="L57" s="55" t="str">
        <x:f>IF(A57="","",IF(H57="عرض 2 بـ120",'القوائم والإعدادات'!$B$6/2,IF(H57="عينة",0,'القوائم والإعدادات'!$B$5)))</x:f>
      </x:c>
      <x:c r="M57" s="55" t="str">
        <x:f>IF(A57="","",K57*L57)</x:f>
      </x:c>
      <x:c r="N57" s="56"/>
      <x:c r="O57" s="56"/>
      <x:c r="P57" s="56"/>
      <x:c r="Q57" s="55" t="str">
        <x:f>IF(A57="","",MAX(0,M57-N57+O57))</x:f>
      </x:c>
      <x:c r="R57" s="55" t="str">
        <x:f>IF(A57="","",I57*'المخزون'!$L$6+J57*'المخزون'!$L$7)</x:f>
      </x:c>
      <x:c r="S57" s="55" t="str">
        <x:f>IF(A57="","",Q57-R57-P57)</x:f>
      </x:c>
      <x:c r="T57" s="41"/>
      <x:c r="U57" s="41"/>
      <x:c r="V57" s="56"/>
      <x:c r="W57" s="55" t="str">
        <x:f>IF(A57="","",MAX(0,Q57-V57))</x:f>
      </x:c>
      <x:c r="X57" s="41"/>
      <x:c r="Y57" s="41"/>
      <x:c r="Z57" s="48"/>
      <x:c r="AA57" s="48"/>
      <x:c r="AB57" s="41"/>
      <x:c r="AC57" s="41"/>
      <x:c r="AD57" s="41"/>
      <x:c r="AE57" s="48"/>
      <x:c r="AF57" s="41"/>
      <x:c r="AG57" s="58" t="str">
        <x:f>IF(A57="","",IFERROR(VLOOKUP(A57,'الفيدباك'!$C$7:$G$206,5,FALSE),""))</x:f>
      </x:c>
      <x:c r="AH57" s="42" t="str">
        <x:f>IF(A57="","",IFERROR(VLOOKUP(A57,'الفيدباك'!$C$7:$L$206,10,FALSE),""))</x:f>
      </x:c>
      <x:c r="AI57" s="41"/>
      <x:c r="AJ57" s="42" t="str">
        <x:f>IF(A57="","",IF(A57="مثال-احذفه","صف توضيحي - احذفه قبل البدء",IF(X57="","حدّث حالة الطلب",IF(AND(X57&lt;&gt;"تم التوصيل",X57&lt;&gt;"ملغي",X57&lt;&gt;"مرتجع",Z57&lt;&gt;"",Z57&lt;TODAY()),"متأخر عن موعد التوصيل",IF(AND(X57="تم التوصيل",W57&gt;0),"حصّل المبلغ المتبقي",IF(AND(X57="تم التوصيل",AD57="موافق",OR(AF57="",AF57="لم يُطلب")),"ابعت لينك الفيدباك",IF(AND(AF57="تم إرسال الرابط",AE57&lt;&gt;"",TODAY()-AE57&gt;=3),"تابع الفيدباك","لا يوجد إجراء عاجل")))))))</x:f>
      </x:c>
    </x:row>
    <x:row r="58" ht="31" customHeight="1">
      <x:c r="A58" s="41"/>
      <x:c r="B58" s="46"/>
      <x:c r="C58" s="41"/>
      <x:c r="D58" s="41"/>
      <x:c r="E58" s="50"/>
      <x:c r="F58" s="41"/>
      <x:c r="G58" s="41"/>
      <x:c r="H58" s="41"/>
      <x:c r="I58" s="52"/>
      <x:c r="J58" s="52"/>
      <x:c r="K58" s="53" t="str">
        <x:f>IF(A58="","",I58+J58)</x:f>
      </x:c>
      <x:c r="L58" s="55" t="str">
        <x:f>IF(A58="","",IF(H58="عرض 2 بـ120",'القوائم والإعدادات'!$B$6/2,IF(H58="عينة",0,'القوائم والإعدادات'!$B$5)))</x:f>
      </x:c>
      <x:c r="M58" s="55" t="str">
        <x:f>IF(A58="","",K58*L58)</x:f>
      </x:c>
      <x:c r="N58" s="56"/>
      <x:c r="O58" s="56"/>
      <x:c r="P58" s="56"/>
      <x:c r="Q58" s="55" t="str">
        <x:f>IF(A58="","",MAX(0,M58-N58+O58))</x:f>
      </x:c>
      <x:c r="R58" s="55" t="str">
        <x:f>IF(A58="","",I58*'المخزون'!$L$6+J58*'المخزون'!$L$7)</x:f>
      </x:c>
      <x:c r="S58" s="55" t="str">
        <x:f>IF(A58="","",Q58-R58-P58)</x:f>
      </x:c>
      <x:c r="T58" s="41"/>
      <x:c r="U58" s="41"/>
      <x:c r="V58" s="56"/>
      <x:c r="W58" s="55" t="str">
        <x:f>IF(A58="","",MAX(0,Q58-V58))</x:f>
      </x:c>
      <x:c r="X58" s="41"/>
      <x:c r="Y58" s="41"/>
      <x:c r="Z58" s="48"/>
      <x:c r="AA58" s="48"/>
      <x:c r="AB58" s="41"/>
      <x:c r="AC58" s="41"/>
      <x:c r="AD58" s="41"/>
      <x:c r="AE58" s="48"/>
      <x:c r="AF58" s="41"/>
      <x:c r="AG58" s="58" t="str">
        <x:f>IF(A58="","",IFERROR(VLOOKUP(A58,'الفيدباك'!$C$7:$G$206,5,FALSE),""))</x:f>
      </x:c>
      <x:c r="AH58" s="42" t="str">
        <x:f>IF(A58="","",IFERROR(VLOOKUP(A58,'الفيدباك'!$C$7:$L$206,10,FALSE),""))</x:f>
      </x:c>
      <x:c r="AI58" s="41"/>
      <x:c r="AJ58" s="42" t="str">
        <x:f>IF(A58="","",IF(A58="مثال-احذفه","صف توضيحي - احذفه قبل البدء",IF(X58="","حدّث حالة الطلب",IF(AND(X58&lt;&gt;"تم التوصيل",X58&lt;&gt;"ملغي",X58&lt;&gt;"مرتجع",Z58&lt;&gt;"",Z58&lt;TODAY()),"متأخر عن موعد التوصيل",IF(AND(X58="تم التوصيل",W58&gt;0),"حصّل المبلغ المتبقي",IF(AND(X58="تم التوصيل",AD58="موافق",OR(AF58="",AF58="لم يُطلب")),"ابعت لينك الفيدباك",IF(AND(AF58="تم إرسال الرابط",AE58&lt;&gt;"",TODAY()-AE58&gt;=3),"تابع الفيدباك","لا يوجد إجراء عاجل")))))))</x:f>
      </x:c>
    </x:row>
    <x:row r="59" ht="31" customHeight="1">
      <x:c r="A59" s="41"/>
      <x:c r="B59" s="46"/>
      <x:c r="C59" s="41"/>
      <x:c r="D59" s="41"/>
      <x:c r="E59" s="50"/>
      <x:c r="F59" s="41"/>
      <x:c r="G59" s="41"/>
      <x:c r="H59" s="41"/>
      <x:c r="I59" s="52"/>
      <x:c r="J59" s="52"/>
      <x:c r="K59" s="53" t="str">
        <x:f>IF(A59="","",I59+J59)</x:f>
      </x:c>
      <x:c r="L59" s="55" t="str">
        <x:f>IF(A59="","",IF(H59="عرض 2 بـ120",'القوائم والإعدادات'!$B$6/2,IF(H59="عينة",0,'القوائم والإعدادات'!$B$5)))</x:f>
      </x:c>
      <x:c r="M59" s="55" t="str">
        <x:f>IF(A59="","",K59*L59)</x:f>
      </x:c>
      <x:c r="N59" s="56"/>
      <x:c r="O59" s="56"/>
      <x:c r="P59" s="56"/>
      <x:c r="Q59" s="55" t="str">
        <x:f>IF(A59="","",MAX(0,M59-N59+O59))</x:f>
      </x:c>
      <x:c r="R59" s="55" t="str">
        <x:f>IF(A59="","",I59*'المخزون'!$L$6+J59*'المخزون'!$L$7)</x:f>
      </x:c>
      <x:c r="S59" s="55" t="str">
        <x:f>IF(A59="","",Q59-R59-P59)</x:f>
      </x:c>
      <x:c r="T59" s="41"/>
      <x:c r="U59" s="41"/>
      <x:c r="V59" s="56"/>
      <x:c r="W59" s="55" t="str">
        <x:f>IF(A59="","",MAX(0,Q59-V59))</x:f>
      </x:c>
      <x:c r="X59" s="41"/>
      <x:c r="Y59" s="41"/>
      <x:c r="Z59" s="48"/>
      <x:c r="AA59" s="48"/>
      <x:c r="AB59" s="41"/>
      <x:c r="AC59" s="41"/>
      <x:c r="AD59" s="41"/>
      <x:c r="AE59" s="48"/>
      <x:c r="AF59" s="41"/>
      <x:c r="AG59" s="58" t="str">
        <x:f>IF(A59="","",IFERROR(VLOOKUP(A59,'الفيدباك'!$C$7:$G$206,5,FALSE),""))</x:f>
      </x:c>
      <x:c r="AH59" s="42" t="str">
        <x:f>IF(A59="","",IFERROR(VLOOKUP(A59,'الفيدباك'!$C$7:$L$206,10,FALSE),""))</x:f>
      </x:c>
      <x:c r="AI59" s="41"/>
      <x:c r="AJ59" s="42" t="str">
        <x:f>IF(A59="","",IF(A59="مثال-احذفه","صف توضيحي - احذفه قبل البدء",IF(X59="","حدّث حالة الطلب",IF(AND(X59&lt;&gt;"تم التوصيل",X59&lt;&gt;"ملغي",X59&lt;&gt;"مرتجع",Z59&lt;&gt;"",Z59&lt;TODAY()),"متأخر عن موعد التوصيل",IF(AND(X59="تم التوصيل",W59&gt;0),"حصّل المبلغ المتبقي",IF(AND(X59="تم التوصيل",AD59="موافق",OR(AF59="",AF59="لم يُطلب")),"ابعت لينك الفيدباك",IF(AND(AF59="تم إرسال الرابط",AE59&lt;&gt;"",TODAY()-AE59&gt;=3),"تابع الفيدباك","لا يوجد إجراء عاجل")))))))</x:f>
      </x:c>
    </x:row>
    <x:row r="60" ht="31" customHeight="1">
      <x:c r="A60" s="41"/>
      <x:c r="B60" s="46"/>
      <x:c r="C60" s="41"/>
      <x:c r="D60" s="41"/>
      <x:c r="E60" s="50"/>
      <x:c r="F60" s="41"/>
      <x:c r="G60" s="41"/>
      <x:c r="H60" s="41"/>
      <x:c r="I60" s="52"/>
      <x:c r="J60" s="52"/>
      <x:c r="K60" s="53" t="str">
        <x:f>IF(A60="","",I60+J60)</x:f>
      </x:c>
      <x:c r="L60" s="55" t="str">
        <x:f>IF(A60="","",IF(H60="عرض 2 بـ120",'القوائم والإعدادات'!$B$6/2,IF(H60="عينة",0,'القوائم والإعدادات'!$B$5)))</x:f>
      </x:c>
      <x:c r="M60" s="55" t="str">
        <x:f>IF(A60="","",K60*L60)</x:f>
      </x:c>
      <x:c r="N60" s="56"/>
      <x:c r="O60" s="56"/>
      <x:c r="P60" s="56"/>
      <x:c r="Q60" s="55" t="str">
        <x:f>IF(A60="","",MAX(0,M60-N60+O60))</x:f>
      </x:c>
      <x:c r="R60" s="55" t="str">
        <x:f>IF(A60="","",I60*'المخزون'!$L$6+J60*'المخزون'!$L$7)</x:f>
      </x:c>
      <x:c r="S60" s="55" t="str">
        <x:f>IF(A60="","",Q60-R60-P60)</x:f>
      </x:c>
      <x:c r="T60" s="41"/>
      <x:c r="U60" s="41"/>
      <x:c r="V60" s="56"/>
      <x:c r="W60" s="55" t="str">
        <x:f>IF(A60="","",MAX(0,Q60-V60))</x:f>
      </x:c>
      <x:c r="X60" s="41"/>
      <x:c r="Y60" s="41"/>
      <x:c r="Z60" s="48"/>
      <x:c r="AA60" s="48"/>
      <x:c r="AB60" s="41"/>
      <x:c r="AC60" s="41"/>
      <x:c r="AD60" s="41"/>
      <x:c r="AE60" s="48"/>
      <x:c r="AF60" s="41"/>
      <x:c r="AG60" s="58" t="str">
        <x:f>IF(A60="","",IFERROR(VLOOKUP(A60,'الفيدباك'!$C$7:$G$206,5,FALSE),""))</x:f>
      </x:c>
      <x:c r="AH60" s="42" t="str">
        <x:f>IF(A60="","",IFERROR(VLOOKUP(A60,'الفيدباك'!$C$7:$L$206,10,FALSE),""))</x:f>
      </x:c>
      <x:c r="AI60" s="41"/>
      <x:c r="AJ60" s="42" t="str">
        <x:f>IF(A60="","",IF(A60="مثال-احذفه","صف توضيحي - احذفه قبل البدء",IF(X60="","حدّث حالة الطلب",IF(AND(X60&lt;&gt;"تم التوصيل",X60&lt;&gt;"ملغي",X60&lt;&gt;"مرتجع",Z60&lt;&gt;"",Z60&lt;TODAY()),"متأخر عن موعد التوصيل",IF(AND(X60="تم التوصيل",W60&gt;0),"حصّل المبلغ المتبقي",IF(AND(X60="تم التوصيل",AD60="موافق",OR(AF60="",AF60="لم يُطلب")),"ابعت لينك الفيدباك",IF(AND(AF60="تم إرسال الرابط",AE60&lt;&gt;"",TODAY()-AE60&gt;=3),"تابع الفيدباك","لا يوجد إجراء عاجل")))))))</x:f>
      </x:c>
    </x:row>
    <x:row r="61" ht="31" customHeight="1">
      <x:c r="A61" s="41"/>
      <x:c r="B61" s="46"/>
      <x:c r="C61" s="41"/>
      <x:c r="D61" s="41"/>
      <x:c r="E61" s="50"/>
      <x:c r="F61" s="41"/>
      <x:c r="G61" s="41"/>
      <x:c r="H61" s="41"/>
      <x:c r="I61" s="52"/>
      <x:c r="J61" s="52"/>
      <x:c r="K61" s="53" t="str">
        <x:f>IF(A61="","",I61+J61)</x:f>
      </x:c>
      <x:c r="L61" s="55" t="str">
        <x:f>IF(A61="","",IF(H61="عرض 2 بـ120",'القوائم والإعدادات'!$B$6/2,IF(H61="عينة",0,'القوائم والإعدادات'!$B$5)))</x:f>
      </x:c>
      <x:c r="M61" s="55" t="str">
        <x:f>IF(A61="","",K61*L61)</x:f>
      </x:c>
      <x:c r="N61" s="56"/>
      <x:c r="O61" s="56"/>
      <x:c r="P61" s="56"/>
      <x:c r="Q61" s="55" t="str">
        <x:f>IF(A61="","",MAX(0,M61-N61+O61))</x:f>
      </x:c>
      <x:c r="R61" s="55" t="str">
        <x:f>IF(A61="","",I61*'المخزون'!$L$6+J61*'المخزون'!$L$7)</x:f>
      </x:c>
      <x:c r="S61" s="55" t="str">
        <x:f>IF(A61="","",Q61-R61-P61)</x:f>
      </x:c>
      <x:c r="T61" s="41"/>
      <x:c r="U61" s="41"/>
      <x:c r="V61" s="56"/>
      <x:c r="W61" s="55" t="str">
        <x:f>IF(A61="","",MAX(0,Q61-V61))</x:f>
      </x:c>
      <x:c r="X61" s="41"/>
      <x:c r="Y61" s="41"/>
      <x:c r="Z61" s="48"/>
      <x:c r="AA61" s="48"/>
      <x:c r="AB61" s="41"/>
      <x:c r="AC61" s="41"/>
      <x:c r="AD61" s="41"/>
      <x:c r="AE61" s="48"/>
      <x:c r="AF61" s="41"/>
      <x:c r="AG61" s="58" t="str">
        <x:f>IF(A61="","",IFERROR(VLOOKUP(A61,'الفيدباك'!$C$7:$G$206,5,FALSE),""))</x:f>
      </x:c>
      <x:c r="AH61" s="42" t="str">
        <x:f>IF(A61="","",IFERROR(VLOOKUP(A61,'الفيدباك'!$C$7:$L$206,10,FALSE),""))</x:f>
      </x:c>
      <x:c r="AI61" s="41"/>
      <x:c r="AJ61" s="42" t="str">
        <x:f>IF(A61="","",IF(A61="مثال-احذفه","صف توضيحي - احذفه قبل البدء",IF(X61="","حدّث حالة الطلب",IF(AND(X61&lt;&gt;"تم التوصيل",X61&lt;&gt;"ملغي",X61&lt;&gt;"مرتجع",Z61&lt;&gt;"",Z61&lt;TODAY()),"متأخر عن موعد التوصيل",IF(AND(X61="تم التوصيل",W61&gt;0),"حصّل المبلغ المتبقي",IF(AND(X61="تم التوصيل",AD61="موافق",OR(AF61="",AF61="لم يُطلب")),"ابعت لينك الفيدباك",IF(AND(AF61="تم إرسال الرابط",AE61&lt;&gt;"",TODAY()-AE61&gt;=3),"تابع الفيدباك","لا يوجد إجراء عاجل")))))))</x:f>
      </x:c>
    </x:row>
    <x:row r="62" ht="31" customHeight="1">
      <x:c r="A62" s="41"/>
      <x:c r="B62" s="46"/>
      <x:c r="C62" s="41"/>
      <x:c r="D62" s="41"/>
      <x:c r="E62" s="50"/>
      <x:c r="F62" s="41"/>
      <x:c r="G62" s="41"/>
      <x:c r="H62" s="41"/>
      <x:c r="I62" s="52"/>
      <x:c r="J62" s="52"/>
      <x:c r="K62" s="53" t="str">
        <x:f>IF(A62="","",I62+J62)</x:f>
      </x:c>
      <x:c r="L62" s="55" t="str">
        <x:f>IF(A62="","",IF(H62="عرض 2 بـ120",'القوائم والإعدادات'!$B$6/2,IF(H62="عينة",0,'القوائم والإعدادات'!$B$5)))</x:f>
      </x:c>
      <x:c r="M62" s="55" t="str">
        <x:f>IF(A62="","",K62*L62)</x:f>
      </x:c>
      <x:c r="N62" s="56"/>
      <x:c r="O62" s="56"/>
      <x:c r="P62" s="56"/>
      <x:c r="Q62" s="55" t="str">
        <x:f>IF(A62="","",MAX(0,M62-N62+O62))</x:f>
      </x:c>
      <x:c r="R62" s="55" t="str">
        <x:f>IF(A62="","",I62*'المخزون'!$L$6+J62*'المخزون'!$L$7)</x:f>
      </x:c>
      <x:c r="S62" s="55" t="str">
        <x:f>IF(A62="","",Q62-R62-P62)</x:f>
      </x:c>
      <x:c r="T62" s="41"/>
      <x:c r="U62" s="41"/>
      <x:c r="V62" s="56"/>
      <x:c r="W62" s="55" t="str">
        <x:f>IF(A62="","",MAX(0,Q62-V62))</x:f>
      </x:c>
      <x:c r="X62" s="41"/>
      <x:c r="Y62" s="41"/>
      <x:c r="Z62" s="48"/>
      <x:c r="AA62" s="48"/>
      <x:c r="AB62" s="41"/>
      <x:c r="AC62" s="41"/>
      <x:c r="AD62" s="41"/>
      <x:c r="AE62" s="48"/>
      <x:c r="AF62" s="41"/>
      <x:c r="AG62" s="58" t="str">
        <x:f>IF(A62="","",IFERROR(VLOOKUP(A62,'الفيدباك'!$C$7:$G$206,5,FALSE),""))</x:f>
      </x:c>
      <x:c r="AH62" s="42" t="str">
        <x:f>IF(A62="","",IFERROR(VLOOKUP(A62,'الفيدباك'!$C$7:$L$206,10,FALSE),""))</x:f>
      </x:c>
      <x:c r="AI62" s="41"/>
      <x:c r="AJ62" s="42" t="str">
        <x:f>IF(A62="","",IF(A62="مثال-احذفه","صف توضيحي - احذفه قبل البدء",IF(X62="","حدّث حالة الطلب",IF(AND(X62&lt;&gt;"تم التوصيل",X62&lt;&gt;"ملغي",X62&lt;&gt;"مرتجع",Z62&lt;&gt;"",Z62&lt;TODAY()),"متأخر عن موعد التوصيل",IF(AND(X62="تم التوصيل",W62&gt;0),"حصّل المبلغ المتبقي",IF(AND(X62="تم التوصيل",AD62="موافق",OR(AF62="",AF62="لم يُطلب")),"ابعت لينك الفيدباك",IF(AND(AF62="تم إرسال الرابط",AE62&lt;&gt;"",TODAY()-AE62&gt;=3),"تابع الفيدباك","لا يوجد إجراء عاجل")))))))</x:f>
      </x:c>
    </x:row>
    <x:row r="63" ht="31" customHeight="1">
      <x:c r="A63" s="41"/>
      <x:c r="B63" s="46"/>
      <x:c r="C63" s="41"/>
      <x:c r="D63" s="41"/>
      <x:c r="E63" s="50"/>
      <x:c r="F63" s="41"/>
      <x:c r="G63" s="41"/>
      <x:c r="H63" s="41"/>
      <x:c r="I63" s="52"/>
      <x:c r="J63" s="52"/>
      <x:c r="K63" s="53" t="str">
        <x:f>IF(A63="","",I63+J63)</x:f>
      </x:c>
      <x:c r="L63" s="55" t="str">
        <x:f>IF(A63="","",IF(H63="عرض 2 بـ120",'القوائم والإعدادات'!$B$6/2,IF(H63="عينة",0,'القوائم والإعدادات'!$B$5)))</x:f>
      </x:c>
      <x:c r="M63" s="55" t="str">
        <x:f>IF(A63="","",K63*L63)</x:f>
      </x:c>
      <x:c r="N63" s="56"/>
      <x:c r="O63" s="56"/>
      <x:c r="P63" s="56"/>
      <x:c r="Q63" s="55" t="str">
        <x:f>IF(A63="","",MAX(0,M63-N63+O63))</x:f>
      </x:c>
      <x:c r="R63" s="55" t="str">
        <x:f>IF(A63="","",I63*'المخزون'!$L$6+J63*'المخزون'!$L$7)</x:f>
      </x:c>
      <x:c r="S63" s="55" t="str">
        <x:f>IF(A63="","",Q63-R63-P63)</x:f>
      </x:c>
      <x:c r="T63" s="41"/>
      <x:c r="U63" s="41"/>
      <x:c r="V63" s="56"/>
      <x:c r="W63" s="55" t="str">
        <x:f>IF(A63="","",MAX(0,Q63-V63))</x:f>
      </x:c>
      <x:c r="X63" s="41"/>
      <x:c r="Y63" s="41"/>
      <x:c r="Z63" s="48"/>
      <x:c r="AA63" s="48"/>
      <x:c r="AB63" s="41"/>
      <x:c r="AC63" s="41"/>
      <x:c r="AD63" s="41"/>
      <x:c r="AE63" s="48"/>
      <x:c r="AF63" s="41"/>
      <x:c r="AG63" s="58" t="str">
        <x:f>IF(A63="","",IFERROR(VLOOKUP(A63,'الفيدباك'!$C$7:$G$206,5,FALSE),""))</x:f>
      </x:c>
      <x:c r="AH63" s="42" t="str">
        <x:f>IF(A63="","",IFERROR(VLOOKUP(A63,'الفيدباك'!$C$7:$L$206,10,FALSE),""))</x:f>
      </x:c>
      <x:c r="AI63" s="41"/>
      <x:c r="AJ63" s="42" t="str">
        <x:f>IF(A63="","",IF(A63="مثال-احذفه","صف توضيحي - احذفه قبل البدء",IF(X63="","حدّث حالة الطلب",IF(AND(X63&lt;&gt;"تم التوصيل",X63&lt;&gt;"ملغي",X63&lt;&gt;"مرتجع",Z63&lt;&gt;"",Z63&lt;TODAY()),"متأخر عن موعد التوصيل",IF(AND(X63="تم التوصيل",W63&gt;0),"حصّل المبلغ المتبقي",IF(AND(X63="تم التوصيل",AD63="موافق",OR(AF63="",AF63="لم يُطلب")),"ابعت لينك الفيدباك",IF(AND(AF63="تم إرسال الرابط",AE63&lt;&gt;"",TODAY()-AE63&gt;=3),"تابع الفيدباك","لا يوجد إجراء عاجل")))))))</x:f>
      </x:c>
    </x:row>
    <x:row r="64" ht="31" customHeight="1">
      <x:c r="A64" s="41"/>
      <x:c r="B64" s="46"/>
      <x:c r="C64" s="41"/>
      <x:c r="D64" s="41"/>
      <x:c r="E64" s="50"/>
      <x:c r="F64" s="41"/>
      <x:c r="G64" s="41"/>
      <x:c r="H64" s="41"/>
      <x:c r="I64" s="52"/>
      <x:c r="J64" s="52"/>
      <x:c r="K64" s="53" t="str">
        <x:f>IF(A64="","",I64+J64)</x:f>
      </x:c>
      <x:c r="L64" s="55" t="str">
        <x:f>IF(A64="","",IF(H64="عرض 2 بـ120",'القوائم والإعدادات'!$B$6/2,IF(H64="عينة",0,'القوائم والإعدادات'!$B$5)))</x:f>
      </x:c>
      <x:c r="M64" s="55" t="str">
        <x:f>IF(A64="","",K64*L64)</x:f>
      </x:c>
      <x:c r="N64" s="56"/>
      <x:c r="O64" s="56"/>
      <x:c r="P64" s="56"/>
      <x:c r="Q64" s="55" t="str">
        <x:f>IF(A64="","",MAX(0,M64-N64+O64))</x:f>
      </x:c>
      <x:c r="R64" s="55" t="str">
        <x:f>IF(A64="","",I64*'المخزون'!$L$6+J64*'المخزون'!$L$7)</x:f>
      </x:c>
      <x:c r="S64" s="55" t="str">
        <x:f>IF(A64="","",Q64-R64-P64)</x:f>
      </x:c>
      <x:c r="T64" s="41"/>
      <x:c r="U64" s="41"/>
      <x:c r="V64" s="56"/>
      <x:c r="W64" s="55" t="str">
        <x:f>IF(A64="","",MAX(0,Q64-V64))</x:f>
      </x:c>
      <x:c r="X64" s="41"/>
      <x:c r="Y64" s="41"/>
      <x:c r="Z64" s="48"/>
      <x:c r="AA64" s="48"/>
      <x:c r="AB64" s="41"/>
      <x:c r="AC64" s="41"/>
      <x:c r="AD64" s="41"/>
      <x:c r="AE64" s="48"/>
      <x:c r="AF64" s="41"/>
      <x:c r="AG64" s="58" t="str">
        <x:f>IF(A64="","",IFERROR(VLOOKUP(A64,'الفيدباك'!$C$7:$G$206,5,FALSE),""))</x:f>
      </x:c>
      <x:c r="AH64" s="42" t="str">
        <x:f>IF(A64="","",IFERROR(VLOOKUP(A64,'الفيدباك'!$C$7:$L$206,10,FALSE),""))</x:f>
      </x:c>
      <x:c r="AI64" s="41"/>
      <x:c r="AJ64" s="42" t="str">
        <x:f>IF(A64="","",IF(A64="مثال-احذفه","صف توضيحي - احذفه قبل البدء",IF(X64="","حدّث حالة الطلب",IF(AND(X64&lt;&gt;"تم التوصيل",X64&lt;&gt;"ملغي",X64&lt;&gt;"مرتجع",Z64&lt;&gt;"",Z64&lt;TODAY()),"متأخر عن موعد التوصيل",IF(AND(X64="تم التوصيل",W64&gt;0),"حصّل المبلغ المتبقي",IF(AND(X64="تم التوصيل",AD64="موافق",OR(AF64="",AF64="لم يُطلب")),"ابعت لينك الفيدباك",IF(AND(AF64="تم إرسال الرابط",AE64&lt;&gt;"",TODAY()-AE64&gt;=3),"تابع الفيدباك","لا يوجد إجراء عاجل")))))))</x:f>
      </x:c>
    </x:row>
    <x:row r="65" ht="31" customHeight="1">
      <x:c r="A65" s="41"/>
      <x:c r="B65" s="46"/>
      <x:c r="C65" s="41"/>
      <x:c r="D65" s="41"/>
      <x:c r="E65" s="50"/>
      <x:c r="F65" s="41"/>
      <x:c r="G65" s="41"/>
      <x:c r="H65" s="41"/>
      <x:c r="I65" s="52"/>
      <x:c r="J65" s="52"/>
      <x:c r="K65" s="53" t="str">
        <x:f>IF(A65="","",I65+J65)</x:f>
      </x:c>
      <x:c r="L65" s="55" t="str">
        <x:f>IF(A65="","",IF(H65="عرض 2 بـ120",'القوائم والإعدادات'!$B$6/2,IF(H65="عينة",0,'القوائم والإعدادات'!$B$5)))</x:f>
      </x:c>
      <x:c r="M65" s="55" t="str">
        <x:f>IF(A65="","",K65*L65)</x:f>
      </x:c>
      <x:c r="N65" s="56"/>
      <x:c r="O65" s="56"/>
      <x:c r="P65" s="56"/>
      <x:c r="Q65" s="55" t="str">
        <x:f>IF(A65="","",MAX(0,M65-N65+O65))</x:f>
      </x:c>
      <x:c r="R65" s="55" t="str">
        <x:f>IF(A65="","",I65*'المخزون'!$L$6+J65*'المخزون'!$L$7)</x:f>
      </x:c>
      <x:c r="S65" s="55" t="str">
        <x:f>IF(A65="","",Q65-R65-P65)</x:f>
      </x:c>
      <x:c r="T65" s="41"/>
      <x:c r="U65" s="41"/>
      <x:c r="V65" s="56"/>
      <x:c r="W65" s="55" t="str">
        <x:f>IF(A65="","",MAX(0,Q65-V65))</x:f>
      </x:c>
      <x:c r="X65" s="41"/>
      <x:c r="Y65" s="41"/>
      <x:c r="Z65" s="48"/>
      <x:c r="AA65" s="48"/>
      <x:c r="AB65" s="41"/>
      <x:c r="AC65" s="41"/>
      <x:c r="AD65" s="41"/>
      <x:c r="AE65" s="48"/>
      <x:c r="AF65" s="41"/>
      <x:c r="AG65" s="58" t="str">
        <x:f>IF(A65="","",IFERROR(VLOOKUP(A65,'الفيدباك'!$C$7:$G$206,5,FALSE),""))</x:f>
      </x:c>
      <x:c r="AH65" s="42" t="str">
        <x:f>IF(A65="","",IFERROR(VLOOKUP(A65,'الفيدباك'!$C$7:$L$206,10,FALSE),""))</x:f>
      </x:c>
      <x:c r="AI65" s="41"/>
      <x:c r="AJ65" s="42" t="str">
        <x:f>IF(A65="","",IF(A65="مثال-احذفه","صف توضيحي - احذفه قبل البدء",IF(X65="","حدّث حالة الطلب",IF(AND(X65&lt;&gt;"تم التوصيل",X65&lt;&gt;"ملغي",X65&lt;&gt;"مرتجع",Z65&lt;&gt;"",Z65&lt;TODAY()),"متأخر عن موعد التوصيل",IF(AND(X65="تم التوصيل",W65&gt;0),"حصّل المبلغ المتبقي",IF(AND(X65="تم التوصيل",AD65="موافق",OR(AF65="",AF65="لم يُطلب")),"ابعت لينك الفيدباك",IF(AND(AF65="تم إرسال الرابط",AE65&lt;&gt;"",TODAY()-AE65&gt;=3),"تابع الفيدباك","لا يوجد إجراء عاجل")))))))</x:f>
      </x:c>
    </x:row>
    <x:row r="66" ht="31" customHeight="1">
      <x:c r="A66" s="41"/>
      <x:c r="B66" s="46"/>
      <x:c r="C66" s="41"/>
      <x:c r="D66" s="41"/>
      <x:c r="E66" s="50"/>
      <x:c r="F66" s="41"/>
      <x:c r="G66" s="41"/>
      <x:c r="H66" s="41"/>
      <x:c r="I66" s="52"/>
      <x:c r="J66" s="52"/>
      <x:c r="K66" s="53" t="str">
        <x:f>IF(A66="","",I66+J66)</x:f>
      </x:c>
      <x:c r="L66" s="55" t="str">
        <x:f>IF(A66="","",IF(H66="عرض 2 بـ120",'القوائم والإعدادات'!$B$6/2,IF(H66="عينة",0,'القوائم والإعدادات'!$B$5)))</x:f>
      </x:c>
      <x:c r="M66" s="55" t="str">
        <x:f>IF(A66="","",K66*L66)</x:f>
      </x:c>
      <x:c r="N66" s="56"/>
      <x:c r="O66" s="56"/>
      <x:c r="P66" s="56"/>
      <x:c r="Q66" s="55" t="str">
        <x:f>IF(A66="","",MAX(0,M66-N66+O66))</x:f>
      </x:c>
      <x:c r="R66" s="55" t="str">
        <x:f>IF(A66="","",I66*'المخزون'!$L$6+J66*'المخزون'!$L$7)</x:f>
      </x:c>
      <x:c r="S66" s="55" t="str">
        <x:f>IF(A66="","",Q66-R66-P66)</x:f>
      </x:c>
      <x:c r="T66" s="41"/>
      <x:c r="U66" s="41"/>
      <x:c r="V66" s="56"/>
      <x:c r="W66" s="55" t="str">
        <x:f>IF(A66="","",MAX(0,Q66-V66))</x:f>
      </x:c>
      <x:c r="X66" s="41"/>
      <x:c r="Y66" s="41"/>
      <x:c r="Z66" s="48"/>
      <x:c r="AA66" s="48"/>
      <x:c r="AB66" s="41"/>
      <x:c r="AC66" s="41"/>
      <x:c r="AD66" s="41"/>
      <x:c r="AE66" s="48"/>
      <x:c r="AF66" s="41"/>
      <x:c r="AG66" s="58" t="str">
        <x:f>IF(A66="","",IFERROR(VLOOKUP(A66,'الفيدباك'!$C$7:$G$206,5,FALSE),""))</x:f>
      </x:c>
      <x:c r="AH66" s="42" t="str">
        <x:f>IF(A66="","",IFERROR(VLOOKUP(A66,'الفيدباك'!$C$7:$L$206,10,FALSE),""))</x:f>
      </x:c>
      <x:c r="AI66" s="41"/>
      <x:c r="AJ66" s="42" t="str">
        <x:f>IF(A66="","",IF(A66="مثال-احذفه","صف توضيحي - احذفه قبل البدء",IF(X66="","حدّث حالة الطلب",IF(AND(X66&lt;&gt;"تم التوصيل",X66&lt;&gt;"ملغي",X66&lt;&gt;"مرتجع",Z66&lt;&gt;"",Z66&lt;TODAY()),"متأخر عن موعد التوصيل",IF(AND(X66="تم التوصيل",W66&gt;0),"حصّل المبلغ المتبقي",IF(AND(X66="تم التوصيل",AD66="موافق",OR(AF66="",AF66="لم يُطلب")),"ابعت لينك الفيدباك",IF(AND(AF66="تم إرسال الرابط",AE66&lt;&gt;"",TODAY()-AE66&gt;=3),"تابع الفيدباك","لا يوجد إجراء عاجل")))))))</x:f>
      </x:c>
    </x:row>
    <x:row r="67" ht="31" customHeight="1">
      <x:c r="A67" s="41"/>
      <x:c r="B67" s="46"/>
      <x:c r="C67" s="41"/>
      <x:c r="D67" s="41"/>
      <x:c r="E67" s="50"/>
      <x:c r="F67" s="41"/>
      <x:c r="G67" s="41"/>
      <x:c r="H67" s="41"/>
      <x:c r="I67" s="52"/>
      <x:c r="J67" s="52"/>
      <x:c r="K67" s="53" t="str">
        <x:f>IF(A67="","",I67+J67)</x:f>
      </x:c>
      <x:c r="L67" s="55" t="str">
        <x:f>IF(A67="","",IF(H67="عرض 2 بـ120",'القوائم والإعدادات'!$B$6/2,IF(H67="عينة",0,'القوائم والإعدادات'!$B$5)))</x:f>
      </x:c>
      <x:c r="M67" s="55" t="str">
        <x:f>IF(A67="","",K67*L67)</x:f>
      </x:c>
      <x:c r="N67" s="56"/>
      <x:c r="O67" s="56"/>
      <x:c r="P67" s="56"/>
      <x:c r="Q67" s="55" t="str">
        <x:f>IF(A67="","",MAX(0,M67-N67+O67))</x:f>
      </x:c>
      <x:c r="R67" s="55" t="str">
        <x:f>IF(A67="","",I67*'المخزون'!$L$6+J67*'المخزون'!$L$7)</x:f>
      </x:c>
      <x:c r="S67" s="55" t="str">
        <x:f>IF(A67="","",Q67-R67-P67)</x:f>
      </x:c>
      <x:c r="T67" s="41"/>
      <x:c r="U67" s="41"/>
      <x:c r="V67" s="56"/>
      <x:c r="W67" s="55" t="str">
        <x:f>IF(A67="","",MAX(0,Q67-V67))</x:f>
      </x:c>
      <x:c r="X67" s="41"/>
      <x:c r="Y67" s="41"/>
      <x:c r="Z67" s="48"/>
      <x:c r="AA67" s="48"/>
      <x:c r="AB67" s="41"/>
      <x:c r="AC67" s="41"/>
      <x:c r="AD67" s="41"/>
      <x:c r="AE67" s="48"/>
      <x:c r="AF67" s="41"/>
      <x:c r="AG67" s="58" t="str">
        <x:f>IF(A67="","",IFERROR(VLOOKUP(A67,'الفيدباك'!$C$7:$G$206,5,FALSE),""))</x:f>
      </x:c>
      <x:c r="AH67" s="42" t="str">
        <x:f>IF(A67="","",IFERROR(VLOOKUP(A67,'الفيدباك'!$C$7:$L$206,10,FALSE),""))</x:f>
      </x:c>
      <x:c r="AI67" s="41"/>
      <x:c r="AJ67" s="42" t="str">
        <x:f>IF(A67="","",IF(A67="مثال-احذفه","صف توضيحي - احذفه قبل البدء",IF(X67="","حدّث حالة الطلب",IF(AND(X67&lt;&gt;"تم التوصيل",X67&lt;&gt;"ملغي",X67&lt;&gt;"مرتجع",Z67&lt;&gt;"",Z67&lt;TODAY()),"متأخر عن موعد التوصيل",IF(AND(X67="تم التوصيل",W67&gt;0),"حصّل المبلغ المتبقي",IF(AND(X67="تم التوصيل",AD67="موافق",OR(AF67="",AF67="لم يُطلب")),"ابعت لينك الفيدباك",IF(AND(AF67="تم إرسال الرابط",AE67&lt;&gt;"",TODAY()-AE67&gt;=3),"تابع الفيدباك","لا يوجد إجراء عاجل")))))))</x:f>
      </x:c>
    </x:row>
    <x:row r="68" ht="31" customHeight="1">
      <x:c r="A68" s="41"/>
      <x:c r="B68" s="46"/>
      <x:c r="C68" s="41"/>
      <x:c r="D68" s="41"/>
      <x:c r="E68" s="50"/>
      <x:c r="F68" s="41"/>
      <x:c r="G68" s="41"/>
      <x:c r="H68" s="41"/>
      <x:c r="I68" s="52"/>
      <x:c r="J68" s="52"/>
      <x:c r="K68" s="53" t="str">
        <x:f>IF(A68="","",I68+J68)</x:f>
      </x:c>
      <x:c r="L68" s="55" t="str">
        <x:f>IF(A68="","",IF(H68="عرض 2 بـ120",'القوائم والإعدادات'!$B$6/2,IF(H68="عينة",0,'القوائم والإعدادات'!$B$5)))</x:f>
      </x:c>
      <x:c r="M68" s="55" t="str">
        <x:f>IF(A68="","",K68*L68)</x:f>
      </x:c>
      <x:c r="N68" s="56"/>
      <x:c r="O68" s="56"/>
      <x:c r="P68" s="56"/>
      <x:c r="Q68" s="55" t="str">
        <x:f>IF(A68="","",MAX(0,M68-N68+O68))</x:f>
      </x:c>
      <x:c r="R68" s="55" t="str">
        <x:f>IF(A68="","",I68*'المخزون'!$L$6+J68*'المخزون'!$L$7)</x:f>
      </x:c>
      <x:c r="S68" s="55" t="str">
        <x:f>IF(A68="","",Q68-R68-P68)</x:f>
      </x:c>
      <x:c r="T68" s="41"/>
      <x:c r="U68" s="41"/>
      <x:c r="V68" s="56"/>
      <x:c r="W68" s="55" t="str">
        <x:f>IF(A68="","",MAX(0,Q68-V68))</x:f>
      </x:c>
      <x:c r="X68" s="41"/>
      <x:c r="Y68" s="41"/>
      <x:c r="Z68" s="48"/>
      <x:c r="AA68" s="48"/>
      <x:c r="AB68" s="41"/>
      <x:c r="AC68" s="41"/>
      <x:c r="AD68" s="41"/>
      <x:c r="AE68" s="48"/>
      <x:c r="AF68" s="41"/>
      <x:c r="AG68" s="58" t="str">
        <x:f>IF(A68="","",IFERROR(VLOOKUP(A68,'الفيدباك'!$C$7:$G$206,5,FALSE),""))</x:f>
      </x:c>
      <x:c r="AH68" s="42" t="str">
        <x:f>IF(A68="","",IFERROR(VLOOKUP(A68,'الفيدباك'!$C$7:$L$206,10,FALSE),""))</x:f>
      </x:c>
      <x:c r="AI68" s="41"/>
      <x:c r="AJ68" s="42" t="str">
        <x:f>IF(A68="","",IF(A68="مثال-احذفه","صف توضيحي - احذفه قبل البدء",IF(X68="","حدّث حالة الطلب",IF(AND(X68&lt;&gt;"تم التوصيل",X68&lt;&gt;"ملغي",X68&lt;&gt;"مرتجع",Z68&lt;&gt;"",Z68&lt;TODAY()),"متأخر عن موعد التوصيل",IF(AND(X68="تم التوصيل",W68&gt;0),"حصّل المبلغ المتبقي",IF(AND(X68="تم التوصيل",AD68="موافق",OR(AF68="",AF68="لم يُطلب")),"ابعت لينك الفيدباك",IF(AND(AF68="تم إرسال الرابط",AE68&lt;&gt;"",TODAY()-AE68&gt;=3),"تابع الفيدباك","لا يوجد إجراء عاجل")))))))</x:f>
      </x:c>
    </x:row>
    <x:row r="69" ht="31" customHeight="1">
      <x:c r="A69" s="41"/>
      <x:c r="B69" s="46"/>
      <x:c r="C69" s="41"/>
      <x:c r="D69" s="41"/>
      <x:c r="E69" s="50"/>
      <x:c r="F69" s="41"/>
      <x:c r="G69" s="41"/>
      <x:c r="H69" s="41"/>
      <x:c r="I69" s="52"/>
      <x:c r="J69" s="52"/>
      <x:c r="K69" s="53" t="str">
        <x:f>IF(A69="","",I69+J69)</x:f>
      </x:c>
      <x:c r="L69" s="55" t="str">
        <x:f>IF(A69="","",IF(H69="عرض 2 بـ120",'القوائم والإعدادات'!$B$6/2,IF(H69="عينة",0,'القوائم والإعدادات'!$B$5)))</x:f>
      </x:c>
      <x:c r="M69" s="55" t="str">
        <x:f>IF(A69="","",K69*L69)</x:f>
      </x:c>
      <x:c r="N69" s="56"/>
      <x:c r="O69" s="56"/>
      <x:c r="P69" s="56"/>
      <x:c r="Q69" s="55" t="str">
        <x:f>IF(A69="","",MAX(0,M69-N69+O69))</x:f>
      </x:c>
      <x:c r="R69" s="55" t="str">
        <x:f>IF(A69="","",I69*'المخزون'!$L$6+J69*'المخزون'!$L$7)</x:f>
      </x:c>
      <x:c r="S69" s="55" t="str">
        <x:f>IF(A69="","",Q69-R69-P69)</x:f>
      </x:c>
      <x:c r="T69" s="41"/>
      <x:c r="U69" s="41"/>
      <x:c r="V69" s="56"/>
      <x:c r="W69" s="55" t="str">
        <x:f>IF(A69="","",MAX(0,Q69-V69))</x:f>
      </x:c>
      <x:c r="X69" s="41"/>
      <x:c r="Y69" s="41"/>
      <x:c r="Z69" s="48"/>
      <x:c r="AA69" s="48"/>
      <x:c r="AB69" s="41"/>
      <x:c r="AC69" s="41"/>
      <x:c r="AD69" s="41"/>
      <x:c r="AE69" s="48"/>
      <x:c r="AF69" s="41"/>
      <x:c r="AG69" s="58" t="str">
        <x:f>IF(A69="","",IFERROR(VLOOKUP(A69,'الفيدباك'!$C$7:$G$206,5,FALSE),""))</x:f>
      </x:c>
      <x:c r="AH69" s="42" t="str">
        <x:f>IF(A69="","",IFERROR(VLOOKUP(A69,'الفيدباك'!$C$7:$L$206,10,FALSE),""))</x:f>
      </x:c>
      <x:c r="AI69" s="41"/>
      <x:c r="AJ69" s="42" t="str">
        <x:f>IF(A69="","",IF(A69="مثال-احذفه","صف توضيحي - احذفه قبل البدء",IF(X69="","حدّث حالة الطلب",IF(AND(X69&lt;&gt;"تم التوصيل",X69&lt;&gt;"ملغي",X69&lt;&gt;"مرتجع",Z69&lt;&gt;"",Z69&lt;TODAY()),"متأخر عن موعد التوصيل",IF(AND(X69="تم التوصيل",W69&gt;0),"حصّل المبلغ المتبقي",IF(AND(X69="تم التوصيل",AD69="موافق",OR(AF69="",AF69="لم يُطلب")),"ابعت لينك الفيدباك",IF(AND(AF69="تم إرسال الرابط",AE69&lt;&gt;"",TODAY()-AE69&gt;=3),"تابع الفيدباك","لا يوجد إجراء عاجل")))))))</x:f>
      </x:c>
    </x:row>
    <x:row r="70" ht="31" customHeight="1">
      <x:c r="A70" s="41"/>
      <x:c r="B70" s="46"/>
      <x:c r="C70" s="41"/>
      <x:c r="D70" s="41"/>
      <x:c r="E70" s="50"/>
      <x:c r="F70" s="41"/>
      <x:c r="G70" s="41"/>
      <x:c r="H70" s="41"/>
      <x:c r="I70" s="52"/>
      <x:c r="J70" s="52"/>
      <x:c r="K70" s="53" t="str">
        <x:f>IF(A70="","",I70+J70)</x:f>
      </x:c>
      <x:c r="L70" s="55" t="str">
        <x:f>IF(A70="","",IF(H70="عرض 2 بـ120",'القوائم والإعدادات'!$B$6/2,IF(H70="عينة",0,'القوائم والإعدادات'!$B$5)))</x:f>
      </x:c>
      <x:c r="M70" s="55" t="str">
        <x:f>IF(A70="","",K70*L70)</x:f>
      </x:c>
      <x:c r="N70" s="56"/>
      <x:c r="O70" s="56"/>
      <x:c r="P70" s="56"/>
      <x:c r="Q70" s="55" t="str">
        <x:f>IF(A70="","",MAX(0,M70-N70+O70))</x:f>
      </x:c>
      <x:c r="R70" s="55" t="str">
        <x:f>IF(A70="","",I70*'المخزون'!$L$6+J70*'المخزون'!$L$7)</x:f>
      </x:c>
      <x:c r="S70" s="55" t="str">
        <x:f>IF(A70="","",Q70-R70-P70)</x:f>
      </x:c>
      <x:c r="T70" s="41"/>
      <x:c r="U70" s="41"/>
      <x:c r="V70" s="56"/>
      <x:c r="W70" s="55" t="str">
        <x:f>IF(A70="","",MAX(0,Q70-V70))</x:f>
      </x:c>
      <x:c r="X70" s="41"/>
      <x:c r="Y70" s="41"/>
      <x:c r="Z70" s="48"/>
      <x:c r="AA70" s="48"/>
      <x:c r="AB70" s="41"/>
      <x:c r="AC70" s="41"/>
      <x:c r="AD70" s="41"/>
      <x:c r="AE70" s="48"/>
      <x:c r="AF70" s="41"/>
      <x:c r="AG70" s="58" t="str">
        <x:f>IF(A70="","",IFERROR(VLOOKUP(A70,'الفيدباك'!$C$7:$G$206,5,FALSE),""))</x:f>
      </x:c>
      <x:c r="AH70" s="42" t="str">
        <x:f>IF(A70="","",IFERROR(VLOOKUP(A70,'الفيدباك'!$C$7:$L$206,10,FALSE),""))</x:f>
      </x:c>
      <x:c r="AI70" s="41"/>
      <x:c r="AJ70" s="42" t="str">
        <x:f>IF(A70="","",IF(A70="مثال-احذفه","صف توضيحي - احذفه قبل البدء",IF(X70="","حدّث حالة الطلب",IF(AND(X70&lt;&gt;"تم التوصيل",X70&lt;&gt;"ملغي",X70&lt;&gt;"مرتجع",Z70&lt;&gt;"",Z70&lt;TODAY()),"متأخر عن موعد التوصيل",IF(AND(X70="تم التوصيل",W70&gt;0),"حصّل المبلغ المتبقي",IF(AND(X70="تم التوصيل",AD70="موافق",OR(AF70="",AF70="لم يُطلب")),"ابعت لينك الفيدباك",IF(AND(AF70="تم إرسال الرابط",AE70&lt;&gt;"",TODAY()-AE70&gt;=3),"تابع الفيدباك","لا يوجد إجراء عاجل")))))))</x:f>
      </x:c>
    </x:row>
    <x:row r="71" ht="31" customHeight="1">
      <x:c r="A71" s="41"/>
      <x:c r="B71" s="46"/>
      <x:c r="C71" s="41"/>
      <x:c r="D71" s="41"/>
      <x:c r="E71" s="50"/>
      <x:c r="F71" s="41"/>
      <x:c r="G71" s="41"/>
      <x:c r="H71" s="41"/>
      <x:c r="I71" s="52"/>
      <x:c r="J71" s="52"/>
      <x:c r="K71" s="53" t="str">
        <x:f>IF(A71="","",I71+J71)</x:f>
      </x:c>
      <x:c r="L71" s="55" t="str">
        <x:f>IF(A71="","",IF(H71="عرض 2 بـ120",'القوائم والإعدادات'!$B$6/2,IF(H71="عينة",0,'القوائم والإعدادات'!$B$5)))</x:f>
      </x:c>
      <x:c r="M71" s="55" t="str">
        <x:f>IF(A71="","",K71*L71)</x:f>
      </x:c>
      <x:c r="N71" s="56"/>
      <x:c r="O71" s="56"/>
      <x:c r="P71" s="56"/>
      <x:c r="Q71" s="55" t="str">
        <x:f>IF(A71="","",MAX(0,M71-N71+O71))</x:f>
      </x:c>
      <x:c r="R71" s="55" t="str">
        <x:f>IF(A71="","",I71*'المخزون'!$L$6+J71*'المخزون'!$L$7)</x:f>
      </x:c>
      <x:c r="S71" s="55" t="str">
        <x:f>IF(A71="","",Q71-R71-P71)</x:f>
      </x:c>
      <x:c r="T71" s="41"/>
      <x:c r="U71" s="41"/>
      <x:c r="V71" s="56"/>
      <x:c r="W71" s="55" t="str">
        <x:f>IF(A71="","",MAX(0,Q71-V71))</x:f>
      </x:c>
      <x:c r="X71" s="41"/>
      <x:c r="Y71" s="41"/>
      <x:c r="Z71" s="48"/>
      <x:c r="AA71" s="48"/>
      <x:c r="AB71" s="41"/>
      <x:c r="AC71" s="41"/>
      <x:c r="AD71" s="41"/>
      <x:c r="AE71" s="48"/>
      <x:c r="AF71" s="41"/>
      <x:c r="AG71" s="58" t="str">
        <x:f>IF(A71="","",IFERROR(VLOOKUP(A71,'الفيدباك'!$C$7:$G$206,5,FALSE),""))</x:f>
      </x:c>
      <x:c r="AH71" s="42" t="str">
        <x:f>IF(A71="","",IFERROR(VLOOKUP(A71,'الفيدباك'!$C$7:$L$206,10,FALSE),""))</x:f>
      </x:c>
      <x:c r="AI71" s="41"/>
      <x:c r="AJ71" s="42" t="str">
        <x:f>IF(A71="","",IF(A71="مثال-احذفه","صف توضيحي - احذفه قبل البدء",IF(X71="","حدّث حالة الطلب",IF(AND(X71&lt;&gt;"تم التوصيل",X71&lt;&gt;"ملغي",X71&lt;&gt;"مرتجع",Z71&lt;&gt;"",Z71&lt;TODAY()),"متأخر عن موعد التوصيل",IF(AND(X71="تم التوصيل",W71&gt;0),"حصّل المبلغ المتبقي",IF(AND(X71="تم التوصيل",AD71="موافق",OR(AF71="",AF71="لم يُطلب")),"ابعت لينك الفيدباك",IF(AND(AF71="تم إرسال الرابط",AE71&lt;&gt;"",TODAY()-AE71&gt;=3),"تابع الفيدباك","لا يوجد إجراء عاجل")))))))</x:f>
      </x:c>
    </x:row>
    <x:row r="72" ht="31" customHeight="1">
      <x:c r="A72" s="41"/>
      <x:c r="B72" s="46"/>
      <x:c r="C72" s="41"/>
      <x:c r="D72" s="41"/>
      <x:c r="E72" s="50"/>
      <x:c r="F72" s="41"/>
      <x:c r="G72" s="41"/>
      <x:c r="H72" s="41"/>
      <x:c r="I72" s="52"/>
      <x:c r="J72" s="52"/>
      <x:c r="K72" s="53" t="str">
        <x:f>IF(A72="","",I72+J72)</x:f>
      </x:c>
      <x:c r="L72" s="55" t="str">
        <x:f>IF(A72="","",IF(H72="عرض 2 بـ120",'القوائم والإعدادات'!$B$6/2,IF(H72="عينة",0,'القوائم والإعدادات'!$B$5)))</x:f>
      </x:c>
      <x:c r="M72" s="55" t="str">
        <x:f>IF(A72="","",K72*L72)</x:f>
      </x:c>
      <x:c r="N72" s="56"/>
      <x:c r="O72" s="56"/>
      <x:c r="P72" s="56"/>
      <x:c r="Q72" s="55" t="str">
        <x:f>IF(A72="","",MAX(0,M72-N72+O72))</x:f>
      </x:c>
      <x:c r="R72" s="55" t="str">
        <x:f>IF(A72="","",I72*'المخزون'!$L$6+J72*'المخزون'!$L$7)</x:f>
      </x:c>
      <x:c r="S72" s="55" t="str">
        <x:f>IF(A72="","",Q72-R72-P72)</x:f>
      </x:c>
      <x:c r="T72" s="41"/>
      <x:c r="U72" s="41"/>
      <x:c r="V72" s="56"/>
      <x:c r="W72" s="55" t="str">
        <x:f>IF(A72="","",MAX(0,Q72-V72))</x:f>
      </x:c>
      <x:c r="X72" s="41"/>
      <x:c r="Y72" s="41"/>
      <x:c r="Z72" s="48"/>
      <x:c r="AA72" s="48"/>
      <x:c r="AB72" s="41"/>
      <x:c r="AC72" s="41"/>
      <x:c r="AD72" s="41"/>
      <x:c r="AE72" s="48"/>
      <x:c r="AF72" s="41"/>
      <x:c r="AG72" s="58" t="str">
        <x:f>IF(A72="","",IFERROR(VLOOKUP(A72,'الفيدباك'!$C$7:$G$206,5,FALSE),""))</x:f>
      </x:c>
      <x:c r="AH72" s="42" t="str">
        <x:f>IF(A72="","",IFERROR(VLOOKUP(A72,'الفيدباك'!$C$7:$L$206,10,FALSE),""))</x:f>
      </x:c>
      <x:c r="AI72" s="41"/>
      <x:c r="AJ72" s="42" t="str">
        <x:f>IF(A72="","",IF(A72="مثال-احذفه","صف توضيحي - احذفه قبل البدء",IF(X72="","حدّث حالة الطلب",IF(AND(X72&lt;&gt;"تم التوصيل",X72&lt;&gt;"ملغي",X72&lt;&gt;"مرتجع",Z72&lt;&gt;"",Z72&lt;TODAY()),"متأخر عن موعد التوصيل",IF(AND(X72="تم التوصيل",W72&gt;0),"حصّل المبلغ المتبقي",IF(AND(X72="تم التوصيل",AD72="موافق",OR(AF72="",AF72="لم يُطلب")),"ابعت لينك الفيدباك",IF(AND(AF72="تم إرسال الرابط",AE72&lt;&gt;"",TODAY()-AE72&gt;=3),"تابع الفيدباك","لا يوجد إجراء عاجل")))))))</x:f>
      </x:c>
    </x:row>
    <x:row r="73" ht="31" customHeight="1">
      <x:c r="A73" s="41"/>
      <x:c r="B73" s="46"/>
      <x:c r="C73" s="41"/>
      <x:c r="D73" s="41"/>
      <x:c r="E73" s="50"/>
      <x:c r="F73" s="41"/>
      <x:c r="G73" s="41"/>
      <x:c r="H73" s="41"/>
      <x:c r="I73" s="52"/>
      <x:c r="J73" s="52"/>
      <x:c r="K73" s="53" t="str">
        <x:f>IF(A73="","",I73+J73)</x:f>
      </x:c>
      <x:c r="L73" s="55" t="str">
        <x:f>IF(A73="","",IF(H73="عرض 2 بـ120",'القوائم والإعدادات'!$B$6/2,IF(H73="عينة",0,'القوائم والإعدادات'!$B$5)))</x:f>
      </x:c>
      <x:c r="M73" s="55" t="str">
        <x:f>IF(A73="","",K73*L73)</x:f>
      </x:c>
      <x:c r="N73" s="56"/>
      <x:c r="O73" s="56"/>
      <x:c r="P73" s="56"/>
      <x:c r="Q73" s="55" t="str">
        <x:f>IF(A73="","",MAX(0,M73-N73+O73))</x:f>
      </x:c>
      <x:c r="R73" s="55" t="str">
        <x:f>IF(A73="","",I73*'المخزون'!$L$6+J73*'المخزون'!$L$7)</x:f>
      </x:c>
      <x:c r="S73" s="55" t="str">
        <x:f>IF(A73="","",Q73-R73-P73)</x:f>
      </x:c>
      <x:c r="T73" s="41"/>
      <x:c r="U73" s="41"/>
      <x:c r="V73" s="56"/>
      <x:c r="W73" s="55" t="str">
        <x:f>IF(A73="","",MAX(0,Q73-V73))</x:f>
      </x:c>
      <x:c r="X73" s="41"/>
      <x:c r="Y73" s="41"/>
      <x:c r="Z73" s="48"/>
      <x:c r="AA73" s="48"/>
      <x:c r="AB73" s="41"/>
      <x:c r="AC73" s="41"/>
      <x:c r="AD73" s="41"/>
      <x:c r="AE73" s="48"/>
      <x:c r="AF73" s="41"/>
      <x:c r="AG73" s="58" t="str">
        <x:f>IF(A73="","",IFERROR(VLOOKUP(A73,'الفيدباك'!$C$7:$G$206,5,FALSE),""))</x:f>
      </x:c>
      <x:c r="AH73" s="42" t="str">
        <x:f>IF(A73="","",IFERROR(VLOOKUP(A73,'الفيدباك'!$C$7:$L$206,10,FALSE),""))</x:f>
      </x:c>
      <x:c r="AI73" s="41"/>
      <x:c r="AJ73" s="42" t="str">
        <x:f>IF(A73="","",IF(A73="مثال-احذفه","صف توضيحي - احذفه قبل البدء",IF(X73="","حدّث حالة الطلب",IF(AND(X73&lt;&gt;"تم التوصيل",X73&lt;&gt;"ملغي",X73&lt;&gt;"مرتجع",Z73&lt;&gt;"",Z73&lt;TODAY()),"متأخر عن موعد التوصيل",IF(AND(X73="تم التوصيل",W73&gt;0),"حصّل المبلغ المتبقي",IF(AND(X73="تم التوصيل",AD73="موافق",OR(AF73="",AF73="لم يُطلب")),"ابعت لينك الفيدباك",IF(AND(AF73="تم إرسال الرابط",AE73&lt;&gt;"",TODAY()-AE73&gt;=3),"تابع الفيدباك","لا يوجد إجراء عاجل")))))))</x:f>
      </x:c>
    </x:row>
    <x:row r="74" ht="31" customHeight="1">
      <x:c r="A74" s="41"/>
      <x:c r="B74" s="46"/>
      <x:c r="C74" s="41"/>
      <x:c r="D74" s="41"/>
      <x:c r="E74" s="50"/>
      <x:c r="F74" s="41"/>
      <x:c r="G74" s="41"/>
      <x:c r="H74" s="41"/>
      <x:c r="I74" s="52"/>
      <x:c r="J74" s="52"/>
      <x:c r="K74" s="53" t="str">
        <x:f>IF(A74="","",I74+J74)</x:f>
      </x:c>
      <x:c r="L74" s="55" t="str">
        <x:f>IF(A74="","",IF(H74="عرض 2 بـ120",'القوائم والإعدادات'!$B$6/2,IF(H74="عينة",0,'القوائم والإعدادات'!$B$5)))</x:f>
      </x:c>
      <x:c r="M74" s="55" t="str">
        <x:f>IF(A74="","",K74*L74)</x:f>
      </x:c>
      <x:c r="N74" s="56"/>
      <x:c r="O74" s="56"/>
      <x:c r="P74" s="56"/>
      <x:c r="Q74" s="55" t="str">
        <x:f>IF(A74="","",MAX(0,M74-N74+O74))</x:f>
      </x:c>
      <x:c r="R74" s="55" t="str">
        <x:f>IF(A74="","",I74*'المخزون'!$L$6+J74*'المخزون'!$L$7)</x:f>
      </x:c>
      <x:c r="S74" s="55" t="str">
        <x:f>IF(A74="","",Q74-R74-P74)</x:f>
      </x:c>
      <x:c r="T74" s="41"/>
      <x:c r="U74" s="41"/>
      <x:c r="V74" s="56"/>
      <x:c r="W74" s="55" t="str">
        <x:f>IF(A74="","",MAX(0,Q74-V74))</x:f>
      </x:c>
      <x:c r="X74" s="41"/>
      <x:c r="Y74" s="41"/>
      <x:c r="Z74" s="48"/>
      <x:c r="AA74" s="48"/>
      <x:c r="AB74" s="41"/>
      <x:c r="AC74" s="41"/>
      <x:c r="AD74" s="41"/>
      <x:c r="AE74" s="48"/>
      <x:c r="AF74" s="41"/>
      <x:c r="AG74" s="58" t="str">
        <x:f>IF(A74="","",IFERROR(VLOOKUP(A74,'الفيدباك'!$C$7:$G$206,5,FALSE),""))</x:f>
      </x:c>
      <x:c r="AH74" s="42" t="str">
        <x:f>IF(A74="","",IFERROR(VLOOKUP(A74,'الفيدباك'!$C$7:$L$206,10,FALSE),""))</x:f>
      </x:c>
      <x:c r="AI74" s="41"/>
      <x:c r="AJ74" s="42" t="str">
        <x:f>IF(A74="","",IF(A74="مثال-احذفه","صف توضيحي - احذفه قبل البدء",IF(X74="","حدّث حالة الطلب",IF(AND(X74&lt;&gt;"تم التوصيل",X74&lt;&gt;"ملغي",X74&lt;&gt;"مرتجع",Z74&lt;&gt;"",Z74&lt;TODAY()),"متأخر عن موعد التوصيل",IF(AND(X74="تم التوصيل",W74&gt;0),"حصّل المبلغ المتبقي",IF(AND(X74="تم التوصيل",AD74="موافق",OR(AF74="",AF74="لم يُطلب")),"ابعت لينك الفيدباك",IF(AND(AF74="تم إرسال الرابط",AE74&lt;&gt;"",TODAY()-AE74&gt;=3),"تابع الفيدباك","لا يوجد إجراء عاجل")))))))</x:f>
      </x:c>
    </x:row>
    <x:row r="75" ht="31" customHeight="1">
      <x:c r="A75" s="41"/>
      <x:c r="B75" s="46"/>
      <x:c r="C75" s="41"/>
      <x:c r="D75" s="41"/>
      <x:c r="E75" s="50"/>
      <x:c r="F75" s="41"/>
      <x:c r="G75" s="41"/>
      <x:c r="H75" s="41"/>
      <x:c r="I75" s="52"/>
      <x:c r="J75" s="52"/>
      <x:c r="K75" s="53" t="str">
        <x:f>IF(A75="","",I75+J75)</x:f>
      </x:c>
      <x:c r="L75" s="55" t="str">
        <x:f>IF(A75="","",IF(H75="عرض 2 بـ120",'القوائم والإعدادات'!$B$6/2,IF(H75="عينة",0,'القوائم والإعدادات'!$B$5)))</x:f>
      </x:c>
      <x:c r="M75" s="55" t="str">
        <x:f>IF(A75="","",K75*L75)</x:f>
      </x:c>
      <x:c r="N75" s="56"/>
      <x:c r="O75" s="56"/>
      <x:c r="P75" s="56"/>
      <x:c r="Q75" s="55" t="str">
        <x:f>IF(A75="","",MAX(0,M75-N75+O75))</x:f>
      </x:c>
      <x:c r="R75" s="55" t="str">
        <x:f>IF(A75="","",I75*'المخزون'!$L$6+J75*'المخزون'!$L$7)</x:f>
      </x:c>
      <x:c r="S75" s="55" t="str">
        <x:f>IF(A75="","",Q75-R75-P75)</x:f>
      </x:c>
      <x:c r="T75" s="41"/>
      <x:c r="U75" s="41"/>
      <x:c r="V75" s="56"/>
      <x:c r="W75" s="55" t="str">
        <x:f>IF(A75="","",MAX(0,Q75-V75))</x:f>
      </x:c>
      <x:c r="X75" s="41"/>
      <x:c r="Y75" s="41"/>
      <x:c r="Z75" s="48"/>
      <x:c r="AA75" s="48"/>
      <x:c r="AB75" s="41"/>
      <x:c r="AC75" s="41"/>
      <x:c r="AD75" s="41"/>
      <x:c r="AE75" s="48"/>
      <x:c r="AF75" s="41"/>
      <x:c r="AG75" s="58" t="str">
        <x:f>IF(A75="","",IFERROR(VLOOKUP(A75,'الفيدباك'!$C$7:$G$206,5,FALSE),""))</x:f>
      </x:c>
      <x:c r="AH75" s="42" t="str">
        <x:f>IF(A75="","",IFERROR(VLOOKUP(A75,'الفيدباك'!$C$7:$L$206,10,FALSE),""))</x:f>
      </x:c>
      <x:c r="AI75" s="41"/>
      <x:c r="AJ75" s="42" t="str">
        <x:f>IF(A75="","",IF(A75="مثال-احذفه","صف توضيحي - احذفه قبل البدء",IF(X75="","حدّث حالة الطلب",IF(AND(X75&lt;&gt;"تم التوصيل",X75&lt;&gt;"ملغي",X75&lt;&gt;"مرتجع",Z75&lt;&gt;"",Z75&lt;TODAY()),"متأخر عن موعد التوصيل",IF(AND(X75="تم التوصيل",W75&gt;0),"حصّل المبلغ المتبقي",IF(AND(X75="تم التوصيل",AD75="موافق",OR(AF75="",AF75="لم يُطلب")),"ابعت لينك الفيدباك",IF(AND(AF75="تم إرسال الرابط",AE75&lt;&gt;"",TODAY()-AE75&gt;=3),"تابع الفيدباك","لا يوجد إجراء عاجل")))))))</x:f>
      </x:c>
    </x:row>
    <x:row r="76" ht="31" customHeight="1">
      <x:c r="A76" s="41"/>
      <x:c r="B76" s="46"/>
      <x:c r="C76" s="41"/>
      <x:c r="D76" s="41"/>
      <x:c r="E76" s="50"/>
      <x:c r="F76" s="41"/>
      <x:c r="G76" s="41"/>
      <x:c r="H76" s="41"/>
      <x:c r="I76" s="52"/>
      <x:c r="J76" s="52"/>
      <x:c r="K76" s="53" t="str">
        <x:f>IF(A76="","",I76+J76)</x:f>
      </x:c>
      <x:c r="L76" s="55" t="str">
        <x:f>IF(A76="","",IF(H76="عرض 2 بـ120",'القوائم والإعدادات'!$B$6/2,IF(H76="عينة",0,'القوائم والإعدادات'!$B$5)))</x:f>
      </x:c>
      <x:c r="M76" s="55" t="str">
        <x:f>IF(A76="","",K76*L76)</x:f>
      </x:c>
      <x:c r="N76" s="56"/>
      <x:c r="O76" s="56"/>
      <x:c r="P76" s="56"/>
      <x:c r="Q76" s="55" t="str">
        <x:f>IF(A76="","",MAX(0,M76-N76+O76))</x:f>
      </x:c>
      <x:c r="R76" s="55" t="str">
        <x:f>IF(A76="","",I76*'المخزون'!$L$6+J76*'المخزون'!$L$7)</x:f>
      </x:c>
      <x:c r="S76" s="55" t="str">
        <x:f>IF(A76="","",Q76-R76-P76)</x:f>
      </x:c>
      <x:c r="T76" s="41"/>
      <x:c r="U76" s="41"/>
      <x:c r="V76" s="56"/>
      <x:c r="W76" s="55" t="str">
        <x:f>IF(A76="","",MAX(0,Q76-V76))</x:f>
      </x:c>
      <x:c r="X76" s="41"/>
      <x:c r="Y76" s="41"/>
      <x:c r="Z76" s="48"/>
      <x:c r="AA76" s="48"/>
      <x:c r="AB76" s="41"/>
      <x:c r="AC76" s="41"/>
      <x:c r="AD76" s="41"/>
      <x:c r="AE76" s="48"/>
      <x:c r="AF76" s="41"/>
      <x:c r="AG76" s="58" t="str">
        <x:f>IF(A76="","",IFERROR(VLOOKUP(A76,'الفيدباك'!$C$7:$G$206,5,FALSE),""))</x:f>
      </x:c>
      <x:c r="AH76" s="42" t="str">
        <x:f>IF(A76="","",IFERROR(VLOOKUP(A76,'الفيدباك'!$C$7:$L$206,10,FALSE),""))</x:f>
      </x:c>
      <x:c r="AI76" s="41"/>
      <x:c r="AJ76" s="42" t="str">
        <x:f>IF(A76="","",IF(A76="مثال-احذفه","صف توضيحي - احذفه قبل البدء",IF(X76="","حدّث حالة الطلب",IF(AND(X76&lt;&gt;"تم التوصيل",X76&lt;&gt;"ملغي",X76&lt;&gt;"مرتجع",Z76&lt;&gt;"",Z76&lt;TODAY()),"متأخر عن موعد التوصيل",IF(AND(X76="تم التوصيل",W76&gt;0),"حصّل المبلغ المتبقي",IF(AND(X76="تم التوصيل",AD76="موافق",OR(AF76="",AF76="لم يُطلب")),"ابعت لينك الفيدباك",IF(AND(AF76="تم إرسال الرابط",AE76&lt;&gt;"",TODAY()-AE76&gt;=3),"تابع الفيدباك","لا يوجد إجراء عاجل")))))))</x:f>
      </x:c>
    </x:row>
    <x:row r="77" ht="31" customHeight="1">
      <x:c r="A77" s="41"/>
      <x:c r="B77" s="46"/>
      <x:c r="C77" s="41"/>
      <x:c r="D77" s="41"/>
      <x:c r="E77" s="50"/>
      <x:c r="F77" s="41"/>
      <x:c r="G77" s="41"/>
      <x:c r="H77" s="41"/>
      <x:c r="I77" s="52"/>
      <x:c r="J77" s="52"/>
      <x:c r="K77" s="53" t="str">
        <x:f>IF(A77="","",I77+J77)</x:f>
      </x:c>
      <x:c r="L77" s="55" t="str">
        <x:f>IF(A77="","",IF(H77="عرض 2 بـ120",'القوائم والإعدادات'!$B$6/2,IF(H77="عينة",0,'القوائم والإعدادات'!$B$5)))</x:f>
      </x:c>
      <x:c r="M77" s="55" t="str">
        <x:f>IF(A77="","",K77*L77)</x:f>
      </x:c>
      <x:c r="N77" s="56"/>
      <x:c r="O77" s="56"/>
      <x:c r="P77" s="56"/>
      <x:c r="Q77" s="55" t="str">
        <x:f>IF(A77="","",MAX(0,M77-N77+O77))</x:f>
      </x:c>
      <x:c r="R77" s="55" t="str">
        <x:f>IF(A77="","",I77*'المخزون'!$L$6+J77*'المخزون'!$L$7)</x:f>
      </x:c>
      <x:c r="S77" s="55" t="str">
        <x:f>IF(A77="","",Q77-R77-P77)</x:f>
      </x:c>
      <x:c r="T77" s="41"/>
      <x:c r="U77" s="41"/>
      <x:c r="V77" s="56"/>
      <x:c r="W77" s="55" t="str">
        <x:f>IF(A77="","",MAX(0,Q77-V77))</x:f>
      </x:c>
      <x:c r="X77" s="41"/>
      <x:c r="Y77" s="41"/>
      <x:c r="Z77" s="48"/>
      <x:c r="AA77" s="48"/>
      <x:c r="AB77" s="41"/>
      <x:c r="AC77" s="41"/>
      <x:c r="AD77" s="41"/>
      <x:c r="AE77" s="48"/>
      <x:c r="AF77" s="41"/>
      <x:c r="AG77" s="58" t="str">
        <x:f>IF(A77="","",IFERROR(VLOOKUP(A77,'الفيدباك'!$C$7:$G$206,5,FALSE),""))</x:f>
      </x:c>
      <x:c r="AH77" s="42" t="str">
        <x:f>IF(A77="","",IFERROR(VLOOKUP(A77,'الفيدباك'!$C$7:$L$206,10,FALSE),""))</x:f>
      </x:c>
      <x:c r="AI77" s="41"/>
      <x:c r="AJ77" s="42" t="str">
        <x:f>IF(A77="","",IF(A77="مثال-احذفه","صف توضيحي - احذفه قبل البدء",IF(X77="","حدّث حالة الطلب",IF(AND(X77&lt;&gt;"تم التوصيل",X77&lt;&gt;"ملغي",X77&lt;&gt;"مرتجع",Z77&lt;&gt;"",Z77&lt;TODAY()),"متأخر عن موعد التوصيل",IF(AND(X77="تم التوصيل",W77&gt;0),"حصّل المبلغ المتبقي",IF(AND(X77="تم التوصيل",AD77="موافق",OR(AF77="",AF77="لم يُطلب")),"ابعت لينك الفيدباك",IF(AND(AF77="تم إرسال الرابط",AE77&lt;&gt;"",TODAY()-AE77&gt;=3),"تابع الفيدباك","لا يوجد إجراء عاجل")))))))</x:f>
      </x:c>
    </x:row>
    <x:row r="78" ht="31" customHeight="1">
      <x:c r="A78" s="41"/>
      <x:c r="B78" s="46"/>
      <x:c r="C78" s="41"/>
      <x:c r="D78" s="41"/>
      <x:c r="E78" s="50"/>
      <x:c r="F78" s="41"/>
      <x:c r="G78" s="41"/>
      <x:c r="H78" s="41"/>
      <x:c r="I78" s="52"/>
      <x:c r="J78" s="52"/>
      <x:c r="K78" s="53" t="str">
        <x:f>IF(A78="","",I78+J78)</x:f>
      </x:c>
      <x:c r="L78" s="55" t="str">
        <x:f>IF(A78="","",IF(H78="عرض 2 بـ120",'القوائم والإعدادات'!$B$6/2,IF(H78="عينة",0,'القوائم والإعدادات'!$B$5)))</x:f>
      </x:c>
      <x:c r="M78" s="55" t="str">
        <x:f>IF(A78="","",K78*L78)</x:f>
      </x:c>
      <x:c r="N78" s="56"/>
      <x:c r="O78" s="56"/>
      <x:c r="P78" s="56"/>
      <x:c r="Q78" s="55" t="str">
        <x:f>IF(A78="","",MAX(0,M78-N78+O78))</x:f>
      </x:c>
      <x:c r="R78" s="55" t="str">
        <x:f>IF(A78="","",I78*'المخزون'!$L$6+J78*'المخزون'!$L$7)</x:f>
      </x:c>
      <x:c r="S78" s="55" t="str">
        <x:f>IF(A78="","",Q78-R78-P78)</x:f>
      </x:c>
      <x:c r="T78" s="41"/>
      <x:c r="U78" s="41"/>
      <x:c r="V78" s="56"/>
      <x:c r="W78" s="55" t="str">
        <x:f>IF(A78="","",MAX(0,Q78-V78))</x:f>
      </x:c>
      <x:c r="X78" s="41"/>
      <x:c r="Y78" s="41"/>
      <x:c r="Z78" s="48"/>
      <x:c r="AA78" s="48"/>
      <x:c r="AB78" s="41"/>
      <x:c r="AC78" s="41"/>
      <x:c r="AD78" s="41"/>
      <x:c r="AE78" s="48"/>
      <x:c r="AF78" s="41"/>
      <x:c r="AG78" s="58" t="str">
        <x:f>IF(A78="","",IFERROR(VLOOKUP(A78,'الفيدباك'!$C$7:$G$206,5,FALSE),""))</x:f>
      </x:c>
      <x:c r="AH78" s="42" t="str">
        <x:f>IF(A78="","",IFERROR(VLOOKUP(A78,'الفيدباك'!$C$7:$L$206,10,FALSE),""))</x:f>
      </x:c>
      <x:c r="AI78" s="41"/>
      <x:c r="AJ78" s="42" t="str">
        <x:f>IF(A78="","",IF(A78="مثال-احذفه","صف توضيحي - احذفه قبل البدء",IF(X78="","حدّث حالة الطلب",IF(AND(X78&lt;&gt;"تم التوصيل",X78&lt;&gt;"ملغي",X78&lt;&gt;"مرتجع",Z78&lt;&gt;"",Z78&lt;TODAY()),"متأخر عن موعد التوصيل",IF(AND(X78="تم التوصيل",W78&gt;0),"حصّل المبلغ المتبقي",IF(AND(X78="تم التوصيل",AD78="موافق",OR(AF78="",AF78="لم يُطلب")),"ابعت لينك الفيدباك",IF(AND(AF78="تم إرسال الرابط",AE78&lt;&gt;"",TODAY()-AE78&gt;=3),"تابع الفيدباك","لا يوجد إجراء عاجل")))))))</x:f>
      </x:c>
    </x:row>
    <x:row r="79" ht="31" customHeight="1">
      <x:c r="A79" s="41"/>
      <x:c r="B79" s="46"/>
      <x:c r="C79" s="41"/>
      <x:c r="D79" s="41"/>
      <x:c r="E79" s="50"/>
      <x:c r="F79" s="41"/>
      <x:c r="G79" s="41"/>
      <x:c r="H79" s="41"/>
      <x:c r="I79" s="52"/>
      <x:c r="J79" s="52"/>
      <x:c r="K79" s="53" t="str">
        <x:f>IF(A79="","",I79+J79)</x:f>
      </x:c>
      <x:c r="L79" s="55" t="str">
        <x:f>IF(A79="","",IF(H79="عرض 2 بـ120",'القوائم والإعدادات'!$B$6/2,IF(H79="عينة",0,'القوائم والإعدادات'!$B$5)))</x:f>
      </x:c>
      <x:c r="M79" s="55" t="str">
        <x:f>IF(A79="","",K79*L79)</x:f>
      </x:c>
      <x:c r="N79" s="56"/>
      <x:c r="O79" s="56"/>
      <x:c r="P79" s="56"/>
      <x:c r="Q79" s="55" t="str">
        <x:f>IF(A79="","",MAX(0,M79-N79+O79))</x:f>
      </x:c>
      <x:c r="R79" s="55" t="str">
        <x:f>IF(A79="","",I79*'المخزون'!$L$6+J79*'المخزون'!$L$7)</x:f>
      </x:c>
      <x:c r="S79" s="55" t="str">
        <x:f>IF(A79="","",Q79-R79-P79)</x:f>
      </x:c>
      <x:c r="T79" s="41"/>
      <x:c r="U79" s="41"/>
      <x:c r="V79" s="56"/>
      <x:c r="W79" s="55" t="str">
        <x:f>IF(A79="","",MAX(0,Q79-V79))</x:f>
      </x:c>
      <x:c r="X79" s="41"/>
      <x:c r="Y79" s="41"/>
      <x:c r="Z79" s="48"/>
      <x:c r="AA79" s="48"/>
      <x:c r="AB79" s="41"/>
      <x:c r="AC79" s="41"/>
      <x:c r="AD79" s="41"/>
      <x:c r="AE79" s="48"/>
      <x:c r="AF79" s="41"/>
      <x:c r="AG79" s="58" t="str">
        <x:f>IF(A79="","",IFERROR(VLOOKUP(A79,'الفيدباك'!$C$7:$G$206,5,FALSE),""))</x:f>
      </x:c>
      <x:c r="AH79" s="42" t="str">
        <x:f>IF(A79="","",IFERROR(VLOOKUP(A79,'الفيدباك'!$C$7:$L$206,10,FALSE),""))</x:f>
      </x:c>
      <x:c r="AI79" s="41"/>
      <x:c r="AJ79" s="42" t="str">
        <x:f>IF(A79="","",IF(A79="مثال-احذفه","صف توضيحي - احذفه قبل البدء",IF(X79="","حدّث حالة الطلب",IF(AND(X79&lt;&gt;"تم التوصيل",X79&lt;&gt;"ملغي",X79&lt;&gt;"مرتجع",Z79&lt;&gt;"",Z79&lt;TODAY()),"متأخر عن موعد التوصيل",IF(AND(X79="تم التوصيل",W79&gt;0),"حصّل المبلغ المتبقي",IF(AND(X79="تم التوصيل",AD79="موافق",OR(AF79="",AF79="لم يُطلب")),"ابعت لينك الفيدباك",IF(AND(AF79="تم إرسال الرابط",AE79&lt;&gt;"",TODAY()-AE79&gt;=3),"تابع الفيدباك","لا يوجد إجراء عاجل")))))))</x:f>
      </x:c>
    </x:row>
    <x:row r="80" ht="31" customHeight="1">
      <x:c r="A80" s="41"/>
      <x:c r="B80" s="46"/>
      <x:c r="C80" s="41"/>
      <x:c r="D80" s="41"/>
      <x:c r="E80" s="50"/>
      <x:c r="F80" s="41"/>
      <x:c r="G80" s="41"/>
      <x:c r="H80" s="41"/>
      <x:c r="I80" s="52"/>
      <x:c r="J80" s="52"/>
      <x:c r="K80" s="53" t="str">
        <x:f>IF(A80="","",I80+J80)</x:f>
      </x:c>
      <x:c r="L80" s="55" t="str">
        <x:f>IF(A80="","",IF(H80="عرض 2 بـ120",'القوائم والإعدادات'!$B$6/2,IF(H80="عينة",0,'القوائم والإعدادات'!$B$5)))</x:f>
      </x:c>
      <x:c r="M80" s="55" t="str">
        <x:f>IF(A80="","",K80*L80)</x:f>
      </x:c>
      <x:c r="N80" s="56"/>
      <x:c r="O80" s="56"/>
      <x:c r="P80" s="56"/>
      <x:c r="Q80" s="55" t="str">
        <x:f>IF(A80="","",MAX(0,M80-N80+O80))</x:f>
      </x:c>
      <x:c r="R80" s="55" t="str">
        <x:f>IF(A80="","",I80*'المخزون'!$L$6+J80*'المخزون'!$L$7)</x:f>
      </x:c>
      <x:c r="S80" s="55" t="str">
        <x:f>IF(A80="","",Q80-R80-P80)</x:f>
      </x:c>
      <x:c r="T80" s="41"/>
      <x:c r="U80" s="41"/>
      <x:c r="V80" s="56"/>
      <x:c r="W80" s="55" t="str">
        <x:f>IF(A80="","",MAX(0,Q80-V80))</x:f>
      </x:c>
      <x:c r="X80" s="41"/>
      <x:c r="Y80" s="41"/>
      <x:c r="Z80" s="48"/>
      <x:c r="AA80" s="48"/>
      <x:c r="AB80" s="41"/>
      <x:c r="AC80" s="41"/>
      <x:c r="AD80" s="41"/>
      <x:c r="AE80" s="48"/>
      <x:c r="AF80" s="41"/>
      <x:c r="AG80" s="58" t="str">
        <x:f>IF(A80="","",IFERROR(VLOOKUP(A80,'الفيدباك'!$C$7:$G$206,5,FALSE),""))</x:f>
      </x:c>
      <x:c r="AH80" s="42" t="str">
        <x:f>IF(A80="","",IFERROR(VLOOKUP(A80,'الفيدباك'!$C$7:$L$206,10,FALSE),""))</x:f>
      </x:c>
      <x:c r="AI80" s="41"/>
      <x:c r="AJ80" s="42" t="str">
        <x:f>IF(A80="","",IF(A80="مثال-احذفه","صف توضيحي - احذفه قبل البدء",IF(X80="","حدّث حالة الطلب",IF(AND(X80&lt;&gt;"تم التوصيل",X80&lt;&gt;"ملغي",X80&lt;&gt;"مرتجع",Z80&lt;&gt;"",Z80&lt;TODAY()),"متأخر عن موعد التوصيل",IF(AND(X80="تم التوصيل",W80&gt;0),"حصّل المبلغ المتبقي",IF(AND(X80="تم التوصيل",AD80="موافق",OR(AF80="",AF80="لم يُطلب")),"ابعت لينك الفيدباك",IF(AND(AF80="تم إرسال الرابط",AE80&lt;&gt;"",TODAY()-AE80&gt;=3),"تابع الفيدباك","لا يوجد إجراء عاجل")))))))</x:f>
      </x:c>
    </x:row>
    <x:row r="81" ht="31" customHeight="1">
      <x:c r="A81" s="41"/>
      <x:c r="B81" s="46"/>
      <x:c r="C81" s="41"/>
      <x:c r="D81" s="41"/>
      <x:c r="E81" s="50"/>
      <x:c r="F81" s="41"/>
      <x:c r="G81" s="41"/>
      <x:c r="H81" s="41"/>
      <x:c r="I81" s="52"/>
      <x:c r="J81" s="52"/>
      <x:c r="K81" s="53" t="str">
        <x:f>IF(A81="","",I81+J81)</x:f>
      </x:c>
      <x:c r="L81" s="55" t="str">
        <x:f>IF(A81="","",IF(H81="عرض 2 بـ120",'القوائم والإعدادات'!$B$6/2,IF(H81="عينة",0,'القوائم والإعدادات'!$B$5)))</x:f>
      </x:c>
      <x:c r="M81" s="55" t="str">
        <x:f>IF(A81="","",K81*L81)</x:f>
      </x:c>
      <x:c r="N81" s="56"/>
      <x:c r="O81" s="56"/>
      <x:c r="P81" s="56"/>
      <x:c r="Q81" s="55" t="str">
        <x:f>IF(A81="","",MAX(0,M81-N81+O81))</x:f>
      </x:c>
      <x:c r="R81" s="55" t="str">
        <x:f>IF(A81="","",I81*'المخزون'!$L$6+J81*'المخزون'!$L$7)</x:f>
      </x:c>
      <x:c r="S81" s="55" t="str">
        <x:f>IF(A81="","",Q81-R81-P81)</x:f>
      </x:c>
      <x:c r="T81" s="41"/>
      <x:c r="U81" s="41"/>
      <x:c r="V81" s="56"/>
      <x:c r="W81" s="55" t="str">
        <x:f>IF(A81="","",MAX(0,Q81-V81))</x:f>
      </x:c>
      <x:c r="X81" s="41"/>
      <x:c r="Y81" s="41"/>
      <x:c r="Z81" s="48"/>
      <x:c r="AA81" s="48"/>
      <x:c r="AB81" s="41"/>
      <x:c r="AC81" s="41"/>
      <x:c r="AD81" s="41"/>
      <x:c r="AE81" s="48"/>
      <x:c r="AF81" s="41"/>
      <x:c r="AG81" s="58" t="str">
        <x:f>IF(A81="","",IFERROR(VLOOKUP(A81,'الفيدباك'!$C$7:$G$206,5,FALSE),""))</x:f>
      </x:c>
      <x:c r="AH81" s="42" t="str">
        <x:f>IF(A81="","",IFERROR(VLOOKUP(A81,'الفيدباك'!$C$7:$L$206,10,FALSE),""))</x:f>
      </x:c>
      <x:c r="AI81" s="41"/>
      <x:c r="AJ81" s="42" t="str">
        <x:f>IF(A81="","",IF(A81="مثال-احذفه","صف توضيحي - احذفه قبل البدء",IF(X81="","حدّث حالة الطلب",IF(AND(X81&lt;&gt;"تم التوصيل",X81&lt;&gt;"ملغي",X81&lt;&gt;"مرتجع",Z81&lt;&gt;"",Z81&lt;TODAY()),"متأخر عن موعد التوصيل",IF(AND(X81="تم التوصيل",W81&gt;0),"حصّل المبلغ المتبقي",IF(AND(X81="تم التوصيل",AD81="موافق",OR(AF81="",AF81="لم يُطلب")),"ابعت لينك الفيدباك",IF(AND(AF81="تم إرسال الرابط",AE81&lt;&gt;"",TODAY()-AE81&gt;=3),"تابع الفيدباك","لا يوجد إجراء عاجل")))))))</x:f>
      </x:c>
    </x:row>
    <x:row r="82" ht="31" customHeight="1">
      <x:c r="A82" s="41"/>
      <x:c r="B82" s="46"/>
      <x:c r="C82" s="41"/>
      <x:c r="D82" s="41"/>
      <x:c r="E82" s="50"/>
      <x:c r="F82" s="41"/>
      <x:c r="G82" s="41"/>
      <x:c r="H82" s="41"/>
      <x:c r="I82" s="52"/>
      <x:c r="J82" s="52"/>
      <x:c r="K82" s="53" t="str">
        <x:f>IF(A82="","",I82+J82)</x:f>
      </x:c>
      <x:c r="L82" s="55" t="str">
        <x:f>IF(A82="","",IF(H82="عرض 2 بـ120",'القوائم والإعدادات'!$B$6/2,IF(H82="عينة",0,'القوائم والإعدادات'!$B$5)))</x:f>
      </x:c>
      <x:c r="M82" s="55" t="str">
        <x:f>IF(A82="","",K82*L82)</x:f>
      </x:c>
      <x:c r="N82" s="56"/>
      <x:c r="O82" s="56"/>
      <x:c r="P82" s="56"/>
      <x:c r="Q82" s="55" t="str">
        <x:f>IF(A82="","",MAX(0,M82-N82+O82))</x:f>
      </x:c>
      <x:c r="R82" s="55" t="str">
        <x:f>IF(A82="","",I82*'المخزون'!$L$6+J82*'المخزون'!$L$7)</x:f>
      </x:c>
      <x:c r="S82" s="55" t="str">
        <x:f>IF(A82="","",Q82-R82-P82)</x:f>
      </x:c>
      <x:c r="T82" s="41"/>
      <x:c r="U82" s="41"/>
      <x:c r="V82" s="56"/>
      <x:c r="W82" s="55" t="str">
        <x:f>IF(A82="","",MAX(0,Q82-V82))</x:f>
      </x:c>
      <x:c r="X82" s="41"/>
      <x:c r="Y82" s="41"/>
      <x:c r="Z82" s="48"/>
      <x:c r="AA82" s="48"/>
      <x:c r="AB82" s="41"/>
      <x:c r="AC82" s="41"/>
      <x:c r="AD82" s="41"/>
      <x:c r="AE82" s="48"/>
      <x:c r="AF82" s="41"/>
      <x:c r="AG82" s="58" t="str">
        <x:f>IF(A82="","",IFERROR(VLOOKUP(A82,'الفيدباك'!$C$7:$G$206,5,FALSE),""))</x:f>
      </x:c>
      <x:c r="AH82" s="42" t="str">
        <x:f>IF(A82="","",IFERROR(VLOOKUP(A82,'الفيدباك'!$C$7:$L$206,10,FALSE),""))</x:f>
      </x:c>
      <x:c r="AI82" s="41"/>
      <x:c r="AJ82" s="42" t="str">
        <x:f>IF(A82="","",IF(A82="مثال-احذفه","صف توضيحي - احذفه قبل البدء",IF(X82="","حدّث حالة الطلب",IF(AND(X82&lt;&gt;"تم التوصيل",X82&lt;&gt;"ملغي",X82&lt;&gt;"مرتجع",Z82&lt;&gt;"",Z82&lt;TODAY()),"متأخر عن موعد التوصيل",IF(AND(X82="تم التوصيل",W82&gt;0),"حصّل المبلغ المتبقي",IF(AND(X82="تم التوصيل",AD82="موافق",OR(AF82="",AF82="لم يُطلب")),"ابعت لينك الفيدباك",IF(AND(AF82="تم إرسال الرابط",AE82&lt;&gt;"",TODAY()-AE82&gt;=3),"تابع الفيدباك","لا يوجد إجراء عاجل")))))))</x:f>
      </x:c>
    </x:row>
    <x:row r="83" ht="31" customHeight="1">
      <x:c r="A83" s="41"/>
      <x:c r="B83" s="46"/>
      <x:c r="C83" s="41"/>
      <x:c r="D83" s="41"/>
      <x:c r="E83" s="50"/>
      <x:c r="F83" s="41"/>
      <x:c r="G83" s="41"/>
      <x:c r="H83" s="41"/>
      <x:c r="I83" s="52"/>
      <x:c r="J83" s="52"/>
      <x:c r="K83" s="53" t="str">
        <x:f>IF(A83="","",I83+J83)</x:f>
      </x:c>
      <x:c r="L83" s="55" t="str">
        <x:f>IF(A83="","",IF(H83="عرض 2 بـ120",'القوائم والإعدادات'!$B$6/2,IF(H83="عينة",0,'القوائم والإعدادات'!$B$5)))</x:f>
      </x:c>
      <x:c r="M83" s="55" t="str">
        <x:f>IF(A83="","",K83*L83)</x:f>
      </x:c>
      <x:c r="N83" s="56"/>
      <x:c r="O83" s="56"/>
      <x:c r="P83" s="56"/>
      <x:c r="Q83" s="55" t="str">
        <x:f>IF(A83="","",MAX(0,M83-N83+O83))</x:f>
      </x:c>
      <x:c r="R83" s="55" t="str">
        <x:f>IF(A83="","",I83*'المخزون'!$L$6+J83*'المخزون'!$L$7)</x:f>
      </x:c>
      <x:c r="S83" s="55" t="str">
        <x:f>IF(A83="","",Q83-R83-P83)</x:f>
      </x:c>
      <x:c r="T83" s="41"/>
      <x:c r="U83" s="41"/>
      <x:c r="V83" s="56"/>
      <x:c r="W83" s="55" t="str">
        <x:f>IF(A83="","",MAX(0,Q83-V83))</x:f>
      </x:c>
      <x:c r="X83" s="41"/>
      <x:c r="Y83" s="41"/>
      <x:c r="Z83" s="48"/>
      <x:c r="AA83" s="48"/>
      <x:c r="AB83" s="41"/>
      <x:c r="AC83" s="41"/>
      <x:c r="AD83" s="41"/>
      <x:c r="AE83" s="48"/>
      <x:c r="AF83" s="41"/>
      <x:c r="AG83" s="58" t="str">
        <x:f>IF(A83="","",IFERROR(VLOOKUP(A83,'الفيدباك'!$C$7:$G$206,5,FALSE),""))</x:f>
      </x:c>
      <x:c r="AH83" s="42" t="str">
        <x:f>IF(A83="","",IFERROR(VLOOKUP(A83,'الفيدباك'!$C$7:$L$206,10,FALSE),""))</x:f>
      </x:c>
      <x:c r="AI83" s="41"/>
      <x:c r="AJ83" s="42" t="str">
        <x:f>IF(A83="","",IF(A83="مثال-احذفه","صف توضيحي - احذفه قبل البدء",IF(X83="","حدّث حالة الطلب",IF(AND(X83&lt;&gt;"تم التوصيل",X83&lt;&gt;"ملغي",X83&lt;&gt;"مرتجع",Z83&lt;&gt;"",Z83&lt;TODAY()),"متأخر عن موعد التوصيل",IF(AND(X83="تم التوصيل",W83&gt;0),"حصّل المبلغ المتبقي",IF(AND(X83="تم التوصيل",AD83="موافق",OR(AF83="",AF83="لم يُطلب")),"ابعت لينك الفيدباك",IF(AND(AF83="تم إرسال الرابط",AE83&lt;&gt;"",TODAY()-AE83&gt;=3),"تابع الفيدباك","لا يوجد إجراء عاجل")))))))</x:f>
      </x:c>
    </x:row>
    <x:row r="84" ht="31" customHeight="1">
      <x:c r="A84" s="41"/>
      <x:c r="B84" s="46"/>
      <x:c r="C84" s="41"/>
      <x:c r="D84" s="41"/>
      <x:c r="E84" s="50"/>
      <x:c r="F84" s="41"/>
      <x:c r="G84" s="41"/>
      <x:c r="H84" s="41"/>
      <x:c r="I84" s="52"/>
      <x:c r="J84" s="52"/>
      <x:c r="K84" s="53" t="str">
        <x:f>IF(A84="","",I84+J84)</x:f>
      </x:c>
      <x:c r="L84" s="55" t="str">
        <x:f>IF(A84="","",IF(H84="عرض 2 بـ120",'القوائم والإعدادات'!$B$6/2,IF(H84="عينة",0,'القوائم والإعدادات'!$B$5)))</x:f>
      </x:c>
      <x:c r="M84" s="55" t="str">
        <x:f>IF(A84="","",K84*L84)</x:f>
      </x:c>
      <x:c r="N84" s="56"/>
      <x:c r="O84" s="56"/>
      <x:c r="P84" s="56"/>
      <x:c r="Q84" s="55" t="str">
        <x:f>IF(A84="","",MAX(0,M84-N84+O84))</x:f>
      </x:c>
      <x:c r="R84" s="55" t="str">
        <x:f>IF(A84="","",I84*'المخزون'!$L$6+J84*'المخزون'!$L$7)</x:f>
      </x:c>
      <x:c r="S84" s="55" t="str">
        <x:f>IF(A84="","",Q84-R84-P84)</x:f>
      </x:c>
      <x:c r="T84" s="41"/>
      <x:c r="U84" s="41"/>
      <x:c r="V84" s="56"/>
      <x:c r="W84" s="55" t="str">
        <x:f>IF(A84="","",MAX(0,Q84-V84))</x:f>
      </x:c>
      <x:c r="X84" s="41"/>
      <x:c r="Y84" s="41"/>
      <x:c r="Z84" s="48"/>
      <x:c r="AA84" s="48"/>
      <x:c r="AB84" s="41"/>
      <x:c r="AC84" s="41"/>
      <x:c r="AD84" s="41"/>
      <x:c r="AE84" s="48"/>
      <x:c r="AF84" s="41"/>
      <x:c r="AG84" s="58" t="str">
        <x:f>IF(A84="","",IFERROR(VLOOKUP(A84,'الفيدباك'!$C$7:$G$206,5,FALSE),""))</x:f>
      </x:c>
      <x:c r="AH84" s="42" t="str">
        <x:f>IF(A84="","",IFERROR(VLOOKUP(A84,'الفيدباك'!$C$7:$L$206,10,FALSE),""))</x:f>
      </x:c>
      <x:c r="AI84" s="41"/>
      <x:c r="AJ84" s="42" t="str">
        <x:f>IF(A84="","",IF(A84="مثال-احذفه","صف توضيحي - احذفه قبل البدء",IF(X84="","حدّث حالة الطلب",IF(AND(X84&lt;&gt;"تم التوصيل",X84&lt;&gt;"ملغي",X84&lt;&gt;"مرتجع",Z84&lt;&gt;"",Z84&lt;TODAY()),"متأخر عن موعد التوصيل",IF(AND(X84="تم التوصيل",W84&gt;0),"حصّل المبلغ المتبقي",IF(AND(X84="تم التوصيل",AD84="موافق",OR(AF84="",AF84="لم يُطلب")),"ابعت لينك الفيدباك",IF(AND(AF84="تم إرسال الرابط",AE84&lt;&gt;"",TODAY()-AE84&gt;=3),"تابع الفيدباك","لا يوجد إجراء عاجل")))))))</x:f>
      </x:c>
    </x:row>
    <x:row r="85" ht="31" customHeight="1">
      <x:c r="A85" s="41"/>
      <x:c r="B85" s="46"/>
      <x:c r="C85" s="41"/>
      <x:c r="D85" s="41"/>
      <x:c r="E85" s="50"/>
      <x:c r="F85" s="41"/>
      <x:c r="G85" s="41"/>
      <x:c r="H85" s="41"/>
      <x:c r="I85" s="52"/>
      <x:c r="J85" s="52"/>
      <x:c r="K85" s="53" t="str">
        <x:f>IF(A85="","",I85+J85)</x:f>
      </x:c>
      <x:c r="L85" s="55" t="str">
        <x:f>IF(A85="","",IF(H85="عرض 2 بـ120",'القوائم والإعدادات'!$B$6/2,IF(H85="عينة",0,'القوائم والإعدادات'!$B$5)))</x:f>
      </x:c>
      <x:c r="M85" s="55" t="str">
        <x:f>IF(A85="","",K85*L85)</x:f>
      </x:c>
      <x:c r="N85" s="56"/>
      <x:c r="O85" s="56"/>
      <x:c r="P85" s="56"/>
      <x:c r="Q85" s="55" t="str">
        <x:f>IF(A85="","",MAX(0,M85-N85+O85))</x:f>
      </x:c>
      <x:c r="R85" s="55" t="str">
        <x:f>IF(A85="","",I85*'المخزون'!$L$6+J85*'المخزون'!$L$7)</x:f>
      </x:c>
      <x:c r="S85" s="55" t="str">
        <x:f>IF(A85="","",Q85-R85-P85)</x:f>
      </x:c>
      <x:c r="T85" s="41"/>
      <x:c r="U85" s="41"/>
      <x:c r="V85" s="56"/>
      <x:c r="W85" s="55" t="str">
        <x:f>IF(A85="","",MAX(0,Q85-V85))</x:f>
      </x:c>
      <x:c r="X85" s="41"/>
      <x:c r="Y85" s="41"/>
      <x:c r="Z85" s="48"/>
      <x:c r="AA85" s="48"/>
      <x:c r="AB85" s="41"/>
      <x:c r="AC85" s="41"/>
      <x:c r="AD85" s="41"/>
      <x:c r="AE85" s="48"/>
      <x:c r="AF85" s="41"/>
      <x:c r="AG85" s="58" t="str">
        <x:f>IF(A85="","",IFERROR(VLOOKUP(A85,'الفيدباك'!$C$7:$G$206,5,FALSE),""))</x:f>
      </x:c>
      <x:c r="AH85" s="42" t="str">
        <x:f>IF(A85="","",IFERROR(VLOOKUP(A85,'الفيدباك'!$C$7:$L$206,10,FALSE),""))</x:f>
      </x:c>
      <x:c r="AI85" s="41"/>
      <x:c r="AJ85" s="42" t="str">
        <x:f>IF(A85="","",IF(A85="مثال-احذفه","صف توضيحي - احذفه قبل البدء",IF(X85="","حدّث حالة الطلب",IF(AND(X85&lt;&gt;"تم التوصيل",X85&lt;&gt;"ملغي",X85&lt;&gt;"مرتجع",Z85&lt;&gt;"",Z85&lt;TODAY()),"متأخر عن موعد التوصيل",IF(AND(X85="تم التوصيل",W85&gt;0),"حصّل المبلغ المتبقي",IF(AND(X85="تم التوصيل",AD85="موافق",OR(AF85="",AF85="لم يُطلب")),"ابعت لينك الفيدباك",IF(AND(AF85="تم إرسال الرابط",AE85&lt;&gt;"",TODAY()-AE85&gt;=3),"تابع الفيدباك","لا يوجد إجراء عاجل")))))))</x:f>
      </x:c>
    </x:row>
    <x:row r="86" ht="31" customHeight="1">
      <x:c r="A86" s="41"/>
      <x:c r="B86" s="46"/>
      <x:c r="C86" s="41"/>
      <x:c r="D86" s="41"/>
      <x:c r="E86" s="50"/>
      <x:c r="F86" s="41"/>
      <x:c r="G86" s="41"/>
      <x:c r="H86" s="41"/>
      <x:c r="I86" s="52"/>
      <x:c r="J86" s="52"/>
      <x:c r="K86" s="53" t="str">
        <x:f>IF(A86="","",I86+J86)</x:f>
      </x:c>
      <x:c r="L86" s="55" t="str">
        <x:f>IF(A86="","",IF(H86="عرض 2 بـ120",'القوائم والإعدادات'!$B$6/2,IF(H86="عينة",0,'القوائم والإعدادات'!$B$5)))</x:f>
      </x:c>
      <x:c r="M86" s="55" t="str">
        <x:f>IF(A86="","",K86*L86)</x:f>
      </x:c>
      <x:c r="N86" s="56"/>
      <x:c r="O86" s="56"/>
      <x:c r="P86" s="56"/>
      <x:c r="Q86" s="55" t="str">
        <x:f>IF(A86="","",MAX(0,M86-N86+O86))</x:f>
      </x:c>
      <x:c r="R86" s="55" t="str">
        <x:f>IF(A86="","",I86*'المخزون'!$L$6+J86*'المخزون'!$L$7)</x:f>
      </x:c>
      <x:c r="S86" s="55" t="str">
        <x:f>IF(A86="","",Q86-R86-P86)</x:f>
      </x:c>
      <x:c r="T86" s="41"/>
      <x:c r="U86" s="41"/>
      <x:c r="V86" s="56"/>
      <x:c r="W86" s="55" t="str">
        <x:f>IF(A86="","",MAX(0,Q86-V86))</x:f>
      </x:c>
      <x:c r="X86" s="41"/>
      <x:c r="Y86" s="41"/>
      <x:c r="Z86" s="48"/>
      <x:c r="AA86" s="48"/>
      <x:c r="AB86" s="41"/>
      <x:c r="AC86" s="41"/>
      <x:c r="AD86" s="41"/>
      <x:c r="AE86" s="48"/>
      <x:c r="AF86" s="41"/>
      <x:c r="AG86" s="58" t="str">
        <x:f>IF(A86="","",IFERROR(VLOOKUP(A86,'الفيدباك'!$C$7:$G$206,5,FALSE),""))</x:f>
      </x:c>
      <x:c r="AH86" s="42" t="str">
        <x:f>IF(A86="","",IFERROR(VLOOKUP(A86,'الفيدباك'!$C$7:$L$206,10,FALSE),""))</x:f>
      </x:c>
      <x:c r="AI86" s="41"/>
      <x:c r="AJ86" s="42" t="str">
        <x:f>IF(A86="","",IF(A86="مثال-احذفه","صف توضيحي - احذفه قبل البدء",IF(X86="","حدّث حالة الطلب",IF(AND(X86&lt;&gt;"تم التوصيل",X86&lt;&gt;"ملغي",X86&lt;&gt;"مرتجع",Z86&lt;&gt;"",Z86&lt;TODAY()),"متأخر عن موعد التوصيل",IF(AND(X86="تم التوصيل",W86&gt;0),"حصّل المبلغ المتبقي",IF(AND(X86="تم التوصيل",AD86="موافق",OR(AF86="",AF86="لم يُطلب")),"ابعت لينك الفيدباك",IF(AND(AF86="تم إرسال الرابط",AE86&lt;&gt;"",TODAY()-AE86&gt;=3),"تابع الفيدباك","لا يوجد إجراء عاجل")))))))</x:f>
      </x:c>
    </x:row>
    <x:row r="87" ht="31" customHeight="1">
      <x:c r="A87" s="41"/>
      <x:c r="B87" s="46"/>
      <x:c r="C87" s="41"/>
      <x:c r="D87" s="41"/>
      <x:c r="E87" s="50"/>
      <x:c r="F87" s="41"/>
      <x:c r="G87" s="41"/>
      <x:c r="H87" s="41"/>
      <x:c r="I87" s="52"/>
      <x:c r="J87" s="52"/>
      <x:c r="K87" s="53" t="str">
        <x:f>IF(A87="","",I87+J87)</x:f>
      </x:c>
      <x:c r="L87" s="55" t="str">
        <x:f>IF(A87="","",IF(H87="عرض 2 بـ120",'القوائم والإعدادات'!$B$6/2,IF(H87="عينة",0,'القوائم والإعدادات'!$B$5)))</x:f>
      </x:c>
      <x:c r="M87" s="55" t="str">
        <x:f>IF(A87="","",K87*L87)</x:f>
      </x:c>
      <x:c r="N87" s="56"/>
      <x:c r="O87" s="56"/>
      <x:c r="P87" s="56"/>
      <x:c r="Q87" s="55" t="str">
        <x:f>IF(A87="","",MAX(0,M87-N87+O87))</x:f>
      </x:c>
      <x:c r="R87" s="55" t="str">
        <x:f>IF(A87="","",I87*'المخزون'!$L$6+J87*'المخزون'!$L$7)</x:f>
      </x:c>
      <x:c r="S87" s="55" t="str">
        <x:f>IF(A87="","",Q87-R87-P87)</x:f>
      </x:c>
      <x:c r="T87" s="41"/>
      <x:c r="U87" s="41"/>
      <x:c r="V87" s="56"/>
      <x:c r="W87" s="55" t="str">
        <x:f>IF(A87="","",MAX(0,Q87-V87))</x:f>
      </x:c>
      <x:c r="X87" s="41"/>
      <x:c r="Y87" s="41"/>
      <x:c r="Z87" s="48"/>
      <x:c r="AA87" s="48"/>
      <x:c r="AB87" s="41"/>
      <x:c r="AC87" s="41"/>
      <x:c r="AD87" s="41"/>
      <x:c r="AE87" s="48"/>
      <x:c r="AF87" s="41"/>
      <x:c r="AG87" s="58" t="str">
        <x:f>IF(A87="","",IFERROR(VLOOKUP(A87,'الفيدباك'!$C$7:$G$206,5,FALSE),""))</x:f>
      </x:c>
      <x:c r="AH87" s="42" t="str">
        <x:f>IF(A87="","",IFERROR(VLOOKUP(A87,'الفيدباك'!$C$7:$L$206,10,FALSE),""))</x:f>
      </x:c>
      <x:c r="AI87" s="41"/>
      <x:c r="AJ87" s="42" t="str">
        <x:f>IF(A87="","",IF(A87="مثال-احذفه","صف توضيحي - احذفه قبل البدء",IF(X87="","حدّث حالة الطلب",IF(AND(X87&lt;&gt;"تم التوصيل",X87&lt;&gt;"ملغي",X87&lt;&gt;"مرتجع",Z87&lt;&gt;"",Z87&lt;TODAY()),"متأخر عن موعد التوصيل",IF(AND(X87="تم التوصيل",W87&gt;0),"حصّل المبلغ المتبقي",IF(AND(X87="تم التوصيل",AD87="موافق",OR(AF87="",AF87="لم يُطلب")),"ابعت لينك الفيدباك",IF(AND(AF87="تم إرسال الرابط",AE87&lt;&gt;"",TODAY()-AE87&gt;=3),"تابع الفيدباك","لا يوجد إجراء عاجل")))))))</x:f>
      </x:c>
    </x:row>
    <x:row r="88" ht="31" customHeight="1">
      <x:c r="A88" s="41"/>
      <x:c r="B88" s="46"/>
      <x:c r="C88" s="41"/>
      <x:c r="D88" s="41"/>
      <x:c r="E88" s="50"/>
      <x:c r="F88" s="41"/>
      <x:c r="G88" s="41"/>
      <x:c r="H88" s="41"/>
      <x:c r="I88" s="52"/>
      <x:c r="J88" s="52"/>
      <x:c r="K88" s="53" t="str">
        <x:f>IF(A88="","",I88+J88)</x:f>
      </x:c>
      <x:c r="L88" s="55" t="str">
        <x:f>IF(A88="","",IF(H88="عرض 2 بـ120",'القوائم والإعدادات'!$B$6/2,IF(H88="عينة",0,'القوائم والإعدادات'!$B$5)))</x:f>
      </x:c>
      <x:c r="M88" s="55" t="str">
        <x:f>IF(A88="","",K88*L88)</x:f>
      </x:c>
      <x:c r="N88" s="56"/>
      <x:c r="O88" s="56"/>
      <x:c r="P88" s="56"/>
      <x:c r="Q88" s="55" t="str">
        <x:f>IF(A88="","",MAX(0,M88-N88+O88))</x:f>
      </x:c>
      <x:c r="R88" s="55" t="str">
        <x:f>IF(A88="","",I88*'المخزون'!$L$6+J88*'المخزون'!$L$7)</x:f>
      </x:c>
      <x:c r="S88" s="55" t="str">
        <x:f>IF(A88="","",Q88-R88-P88)</x:f>
      </x:c>
      <x:c r="T88" s="41"/>
      <x:c r="U88" s="41"/>
      <x:c r="V88" s="56"/>
      <x:c r="W88" s="55" t="str">
        <x:f>IF(A88="","",MAX(0,Q88-V88))</x:f>
      </x:c>
      <x:c r="X88" s="41"/>
      <x:c r="Y88" s="41"/>
      <x:c r="Z88" s="48"/>
      <x:c r="AA88" s="48"/>
      <x:c r="AB88" s="41"/>
      <x:c r="AC88" s="41"/>
      <x:c r="AD88" s="41"/>
      <x:c r="AE88" s="48"/>
      <x:c r="AF88" s="41"/>
      <x:c r="AG88" s="58" t="str">
        <x:f>IF(A88="","",IFERROR(VLOOKUP(A88,'الفيدباك'!$C$7:$G$206,5,FALSE),""))</x:f>
      </x:c>
      <x:c r="AH88" s="42" t="str">
        <x:f>IF(A88="","",IFERROR(VLOOKUP(A88,'الفيدباك'!$C$7:$L$206,10,FALSE),""))</x:f>
      </x:c>
      <x:c r="AI88" s="41"/>
      <x:c r="AJ88" s="42" t="str">
        <x:f>IF(A88="","",IF(A88="مثال-احذفه","صف توضيحي - احذفه قبل البدء",IF(X88="","حدّث حالة الطلب",IF(AND(X88&lt;&gt;"تم التوصيل",X88&lt;&gt;"ملغي",X88&lt;&gt;"مرتجع",Z88&lt;&gt;"",Z88&lt;TODAY()),"متأخر عن موعد التوصيل",IF(AND(X88="تم التوصيل",W88&gt;0),"حصّل المبلغ المتبقي",IF(AND(X88="تم التوصيل",AD88="موافق",OR(AF88="",AF88="لم يُطلب")),"ابعت لينك الفيدباك",IF(AND(AF88="تم إرسال الرابط",AE88&lt;&gt;"",TODAY()-AE88&gt;=3),"تابع الفيدباك","لا يوجد إجراء عاجل")))))))</x:f>
      </x:c>
    </x:row>
    <x:row r="89" ht="31" customHeight="1">
      <x:c r="A89" s="41"/>
      <x:c r="B89" s="46"/>
      <x:c r="C89" s="41"/>
      <x:c r="D89" s="41"/>
      <x:c r="E89" s="50"/>
      <x:c r="F89" s="41"/>
      <x:c r="G89" s="41"/>
      <x:c r="H89" s="41"/>
      <x:c r="I89" s="52"/>
      <x:c r="J89" s="52"/>
      <x:c r="K89" s="53" t="str">
        <x:f>IF(A89="","",I89+J89)</x:f>
      </x:c>
      <x:c r="L89" s="55" t="str">
        <x:f>IF(A89="","",IF(H89="عرض 2 بـ120",'القوائم والإعدادات'!$B$6/2,IF(H89="عينة",0,'القوائم والإعدادات'!$B$5)))</x:f>
      </x:c>
      <x:c r="M89" s="55" t="str">
        <x:f>IF(A89="","",K89*L89)</x:f>
      </x:c>
      <x:c r="N89" s="56"/>
      <x:c r="O89" s="56"/>
      <x:c r="P89" s="56"/>
      <x:c r="Q89" s="55" t="str">
        <x:f>IF(A89="","",MAX(0,M89-N89+O89))</x:f>
      </x:c>
      <x:c r="R89" s="55" t="str">
        <x:f>IF(A89="","",I89*'المخزون'!$L$6+J89*'المخزون'!$L$7)</x:f>
      </x:c>
      <x:c r="S89" s="55" t="str">
        <x:f>IF(A89="","",Q89-R89-P89)</x:f>
      </x:c>
      <x:c r="T89" s="41"/>
      <x:c r="U89" s="41"/>
      <x:c r="V89" s="56"/>
      <x:c r="W89" s="55" t="str">
        <x:f>IF(A89="","",MAX(0,Q89-V89))</x:f>
      </x:c>
      <x:c r="X89" s="41"/>
      <x:c r="Y89" s="41"/>
      <x:c r="Z89" s="48"/>
      <x:c r="AA89" s="48"/>
      <x:c r="AB89" s="41"/>
      <x:c r="AC89" s="41"/>
      <x:c r="AD89" s="41"/>
      <x:c r="AE89" s="48"/>
      <x:c r="AF89" s="41"/>
      <x:c r="AG89" s="58" t="str">
        <x:f>IF(A89="","",IFERROR(VLOOKUP(A89,'الفيدباك'!$C$7:$G$206,5,FALSE),""))</x:f>
      </x:c>
      <x:c r="AH89" s="42" t="str">
        <x:f>IF(A89="","",IFERROR(VLOOKUP(A89,'الفيدباك'!$C$7:$L$206,10,FALSE),""))</x:f>
      </x:c>
      <x:c r="AI89" s="41"/>
      <x:c r="AJ89" s="42" t="str">
        <x:f>IF(A89="","",IF(A89="مثال-احذفه","صف توضيحي - احذفه قبل البدء",IF(X89="","حدّث حالة الطلب",IF(AND(X89&lt;&gt;"تم التوصيل",X89&lt;&gt;"ملغي",X89&lt;&gt;"مرتجع",Z89&lt;&gt;"",Z89&lt;TODAY()),"متأخر عن موعد التوصيل",IF(AND(X89="تم التوصيل",W89&gt;0),"حصّل المبلغ المتبقي",IF(AND(X89="تم التوصيل",AD89="موافق",OR(AF89="",AF89="لم يُطلب")),"ابعت لينك الفيدباك",IF(AND(AF89="تم إرسال الرابط",AE89&lt;&gt;"",TODAY()-AE89&gt;=3),"تابع الفيدباك","لا يوجد إجراء عاجل")))))))</x:f>
      </x:c>
    </x:row>
    <x:row r="90" ht="31" customHeight="1">
      <x:c r="A90" s="41"/>
      <x:c r="B90" s="46"/>
      <x:c r="C90" s="41"/>
      <x:c r="D90" s="41"/>
      <x:c r="E90" s="50"/>
      <x:c r="F90" s="41"/>
      <x:c r="G90" s="41"/>
      <x:c r="H90" s="41"/>
      <x:c r="I90" s="52"/>
      <x:c r="J90" s="52"/>
      <x:c r="K90" s="53" t="str">
        <x:f>IF(A90="","",I90+J90)</x:f>
      </x:c>
      <x:c r="L90" s="55" t="str">
        <x:f>IF(A90="","",IF(H90="عرض 2 بـ120",'القوائم والإعدادات'!$B$6/2,IF(H90="عينة",0,'القوائم والإعدادات'!$B$5)))</x:f>
      </x:c>
      <x:c r="M90" s="55" t="str">
        <x:f>IF(A90="","",K90*L90)</x:f>
      </x:c>
      <x:c r="N90" s="56"/>
      <x:c r="O90" s="56"/>
      <x:c r="P90" s="56"/>
      <x:c r="Q90" s="55" t="str">
        <x:f>IF(A90="","",MAX(0,M90-N90+O90))</x:f>
      </x:c>
      <x:c r="R90" s="55" t="str">
        <x:f>IF(A90="","",I90*'المخزون'!$L$6+J90*'المخزون'!$L$7)</x:f>
      </x:c>
      <x:c r="S90" s="55" t="str">
        <x:f>IF(A90="","",Q90-R90-P90)</x:f>
      </x:c>
      <x:c r="T90" s="41"/>
      <x:c r="U90" s="41"/>
      <x:c r="V90" s="56"/>
      <x:c r="W90" s="55" t="str">
        <x:f>IF(A90="","",MAX(0,Q90-V90))</x:f>
      </x:c>
      <x:c r="X90" s="41"/>
      <x:c r="Y90" s="41"/>
      <x:c r="Z90" s="48"/>
      <x:c r="AA90" s="48"/>
      <x:c r="AB90" s="41"/>
      <x:c r="AC90" s="41"/>
      <x:c r="AD90" s="41"/>
      <x:c r="AE90" s="48"/>
      <x:c r="AF90" s="41"/>
      <x:c r="AG90" s="58" t="str">
        <x:f>IF(A90="","",IFERROR(VLOOKUP(A90,'الفيدباك'!$C$7:$G$206,5,FALSE),""))</x:f>
      </x:c>
      <x:c r="AH90" s="42" t="str">
        <x:f>IF(A90="","",IFERROR(VLOOKUP(A90,'الفيدباك'!$C$7:$L$206,10,FALSE),""))</x:f>
      </x:c>
      <x:c r="AI90" s="41"/>
      <x:c r="AJ90" s="42" t="str">
        <x:f>IF(A90="","",IF(A90="مثال-احذفه","صف توضيحي - احذفه قبل البدء",IF(X90="","حدّث حالة الطلب",IF(AND(X90&lt;&gt;"تم التوصيل",X90&lt;&gt;"ملغي",X90&lt;&gt;"مرتجع",Z90&lt;&gt;"",Z90&lt;TODAY()),"متأخر عن موعد التوصيل",IF(AND(X90="تم التوصيل",W90&gt;0),"حصّل المبلغ المتبقي",IF(AND(X90="تم التوصيل",AD90="موافق",OR(AF90="",AF90="لم يُطلب")),"ابعت لينك الفيدباك",IF(AND(AF90="تم إرسال الرابط",AE90&lt;&gt;"",TODAY()-AE90&gt;=3),"تابع الفيدباك","لا يوجد إجراء عاجل")))))))</x:f>
      </x:c>
    </x:row>
    <x:row r="91" ht="31" customHeight="1">
      <x:c r="A91" s="41"/>
      <x:c r="B91" s="46"/>
      <x:c r="C91" s="41"/>
      <x:c r="D91" s="41"/>
      <x:c r="E91" s="50"/>
      <x:c r="F91" s="41"/>
      <x:c r="G91" s="41"/>
      <x:c r="H91" s="41"/>
      <x:c r="I91" s="52"/>
      <x:c r="J91" s="52"/>
      <x:c r="K91" s="53" t="str">
        <x:f>IF(A91="","",I91+J91)</x:f>
      </x:c>
      <x:c r="L91" s="55" t="str">
        <x:f>IF(A91="","",IF(H91="عرض 2 بـ120",'القوائم والإعدادات'!$B$6/2,IF(H91="عينة",0,'القوائم والإعدادات'!$B$5)))</x:f>
      </x:c>
      <x:c r="M91" s="55" t="str">
        <x:f>IF(A91="","",K91*L91)</x:f>
      </x:c>
      <x:c r="N91" s="56"/>
      <x:c r="O91" s="56"/>
      <x:c r="P91" s="56"/>
      <x:c r="Q91" s="55" t="str">
        <x:f>IF(A91="","",MAX(0,M91-N91+O91))</x:f>
      </x:c>
      <x:c r="R91" s="55" t="str">
        <x:f>IF(A91="","",I91*'المخزون'!$L$6+J91*'المخزون'!$L$7)</x:f>
      </x:c>
      <x:c r="S91" s="55" t="str">
        <x:f>IF(A91="","",Q91-R91-P91)</x:f>
      </x:c>
      <x:c r="T91" s="41"/>
      <x:c r="U91" s="41"/>
      <x:c r="V91" s="56"/>
      <x:c r="W91" s="55" t="str">
        <x:f>IF(A91="","",MAX(0,Q91-V91))</x:f>
      </x:c>
      <x:c r="X91" s="41"/>
      <x:c r="Y91" s="41"/>
      <x:c r="Z91" s="48"/>
      <x:c r="AA91" s="48"/>
      <x:c r="AB91" s="41"/>
      <x:c r="AC91" s="41"/>
      <x:c r="AD91" s="41"/>
      <x:c r="AE91" s="48"/>
      <x:c r="AF91" s="41"/>
      <x:c r="AG91" s="58" t="str">
        <x:f>IF(A91="","",IFERROR(VLOOKUP(A91,'الفيدباك'!$C$7:$G$206,5,FALSE),""))</x:f>
      </x:c>
      <x:c r="AH91" s="42" t="str">
        <x:f>IF(A91="","",IFERROR(VLOOKUP(A91,'الفيدباك'!$C$7:$L$206,10,FALSE),""))</x:f>
      </x:c>
      <x:c r="AI91" s="41"/>
      <x:c r="AJ91" s="42" t="str">
        <x:f>IF(A91="","",IF(A91="مثال-احذفه","صف توضيحي - احذفه قبل البدء",IF(X91="","حدّث حالة الطلب",IF(AND(X91&lt;&gt;"تم التوصيل",X91&lt;&gt;"ملغي",X91&lt;&gt;"مرتجع",Z91&lt;&gt;"",Z91&lt;TODAY()),"متأخر عن موعد التوصيل",IF(AND(X91="تم التوصيل",W91&gt;0),"حصّل المبلغ المتبقي",IF(AND(X91="تم التوصيل",AD91="موافق",OR(AF91="",AF91="لم يُطلب")),"ابعت لينك الفيدباك",IF(AND(AF91="تم إرسال الرابط",AE91&lt;&gt;"",TODAY()-AE91&gt;=3),"تابع الفيدباك","لا يوجد إجراء عاجل")))))))</x:f>
      </x:c>
    </x:row>
    <x:row r="92" ht="31" customHeight="1">
      <x:c r="A92" s="41"/>
      <x:c r="B92" s="46"/>
      <x:c r="C92" s="41"/>
      <x:c r="D92" s="41"/>
      <x:c r="E92" s="50"/>
      <x:c r="F92" s="41"/>
      <x:c r="G92" s="41"/>
      <x:c r="H92" s="41"/>
      <x:c r="I92" s="52"/>
      <x:c r="J92" s="52"/>
      <x:c r="K92" s="53" t="str">
        <x:f>IF(A92="","",I92+J92)</x:f>
      </x:c>
      <x:c r="L92" s="55" t="str">
        <x:f>IF(A92="","",IF(H92="عرض 2 بـ120",'القوائم والإعدادات'!$B$6/2,IF(H92="عينة",0,'القوائم والإعدادات'!$B$5)))</x:f>
      </x:c>
      <x:c r="M92" s="55" t="str">
        <x:f>IF(A92="","",K92*L92)</x:f>
      </x:c>
      <x:c r="N92" s="56"/>
      <x:c r="O92" s="56"/>
      <x:c r="P92" s="56"/>
      <x:c r="Q92" s="55" t="str">
        <x:f>IF(A92="","",MAX(0,M92-N92+O92))</x:f>
      </x:c>
      <x:c r="R92" s="55" t="str">
        <x:f>IF(A92="","",I92*'المخزون'!$L$6+J92*'المخزون'!$L$7)</x:f>
      </x:c>
      <x:c r="S92" s="55" t="str">
        <x:f>IF(A92="","",Q92-R92-P92)</x:f>
      </x:c>
      <x:c r="T92" s="41"/>
      <x:c r="U92" s="41"/>
      <x:c r="V92" s="56"/>
      <x:c r="W92" s="55" t="str">
        <x:f>IF(A92="","",MAX(0,Q92-V92))</x:f>
      </x:c>
      <x:c r="X92" s="41"/>
      <x:c r="Y92" s="41"/>
      <x:c r="Z92" s="48"/>
      <x:c r="AA92" s="48"/>
      <x:c r="AB92" s="41"/>
      <x:c r="AC92" s="41"/>
      <x:c r="AD92" s="41"/>
      <x:c r="AE92" s="48"/>
      <x:c r="AF92" s="41"/>
      <x:c r="AG92" s="58" t="str">
        <x:f>IF(A92="","",IFERROR(VLOOKUP(A92,'الفيدباك'!$C$7:$G$206,5,FALSE),""))</x:f>
      </x:c>
      <x:c r="AH92" s="42" t="str">
        <x:f>IF(A92="","",IFERROR(VLOOKUP(A92,'الفيدباك'!$C$7:$L$206,10,FALSE),""))</x:f>
      </x:c>
      <x:c r="AI92" s="41"/>
      <x:c r="AJ92" s="42" t="str">
        <x:f>IF(A92="","",IF(A92="مثال-احذفه","صف توضيحي - احذفه قبل البدء",IF(X92="","حدّث حالة الطلب",IF(AND(X92&lt;&gt;"تم التوصيل",X92&lt;&gt;"ملغي",X92&lt;&gt;"مرتجع",Z92&lt;&gt;"",Z92&lt;TODAY()),"متأخر عن موعد التوصيل",IF(AND(X92="تم التوصيل",W92&gt;0),"حصّل المبلغ المتبقي",IF(AND(X92="تم التوصيل",AD92="موافق",OR(AF92="",AF92="لم يُطلب")),"ابعت لينك الفيدباك",IF(AND(AF92="تم إرسال الرابط",AE92&lt;&gt;"",TODAY()-AE92&gt;=3),"تابع الفيدباك","لا يوجد إجراء عاجل")))))))</x:f>
      </x:c>
    </x:row>
    <x:row r="93" ht="31" customHeight="1">
      <x:c r="A93" s="41"/>
      <x:c r="B93" s="46"/>
      <x:c r="C93" s="41"/>
      <x:c r="D93" s="41"/>
      <x:c r="E93" s="50"/>
      <x:c r="F93" s="41"/>
      <x:c r="G93" s="41"/>
      <x:c r="H93" s="41"/>
      <x:c r="I93" s="52"/>
      <x:c r="J93" s="52"/>
      <x:c r="K93" s="53" t="str">
        <x:f>IF(A93="","",I93+J93)</x:f>
      </x:c>
      <x:c r="L93" s="55" t="str">
        <x:f>IF(A93="","",IF(H93="عرض 2 بـ120",'القوائم والإعدادات'!$B$6/2,IF(H93="عينة",0,'القوائم والإعدادات'!$B$5)))</x:f>
      </x:c>
      <x:c r="M93" s="55" t="str">
        <x:f>IF(A93="","",K93*L93)</x:f>
      </x:c>
      <x:c r="N93" s="56"/>
      <x:c r="O93" s="56"/>
      <x:c r="P93" s="56"/>
      <x:c r="Q93" s="55" t="str">
        <x:f>IF(A93="","",MAX(0,M93-N93+O93))</x:f>
      </x:c>
      <x:c r="R93" s="55" t="str">
        <x:f>IF(A93="","",I93*'المخزون'!$L$6+J93*'المخزون'!$L$7)</x:f>
      </x:c>
      <x:c r="S93" s="55" t="str">
        <x:f>IF(A93="","",Q93-R93-P93)</x:f>
      </x:c>
      <x:c r="T93" s="41"/>
      <x:c r="U93" s="41"/>
      <x:c r="V93" s="56"/>
      <x:c r="W93" s="55" t="str">
        <x:f>IF(A93="","",MAX(0,Q93-V93))</x:f>
      </x:c>
      <x:c r="X93" s="41"/>
      <x:c r="Y93" s="41"/>
      <x:c r="Z93" s="48"/>
      <x:c r="AA93" s="48"/>
      <x:c r="AB93" s="41"/>
      <x:c r="AC93" s="41"/>
      <x:c r="AD93" s="41"/>
      <x:c r="AE93" s="48"/>
      <x:c r="AF93" s="41"/>
      <x:c r="AG93" s="58" t="str">
        <x:f>IF(A93="","",IFERROR(VLOOKUP(A93,'الفيدباك'!$C$7:$G$206,5,FALSE),""))</x:f>
      </x:c>
      <x:c r="AH93" s="42" t="str">
        <x:f>IF(A93="","",IFERROR(VLOOKUP(A93,'الفيدباك'!$C$7:$L$206,10,FALSE),""))</x:f>
      </x:c>
      <x:c r="AI93" s="41"/>
      <x:c r="AJ93" s="42" t="str">
        <x:f>IF(A93="","",IF(A93="مثال-احذفه","صف توضيحي - احذفه قبل البدء",IF(X93="","حدّث حالة الطلب",IF(AND(X93&lt;&gt;"تم التوصيل",X93&lt;&gt;"ملغي",X93&lt;&gt;"مرتجع",Z93&lt;&gt;"",Z93&lt;TODAY()),"متأخر عن موعد التوصيل",IF(AND(X93="تم التوصيل",W93&gt;0),"حصّل المبلغ المتبقي",IF(AND(X93="تم التوصيل",AD93="موافق",OR(AF93="",AF93="لم يُطلب")),"ابعت لينك الفيدباك",IF(AND(AF93="تم إرسال الرابط",AE93&lt;&gt;"",TODAY()-AE93&gt;=3),"تابع الفيدباك","لا يوجد إجراء عاجل")))))))</x:f>
      </x:c>
    </x:row>
    <x:row r="94" ht="31" customHeight="1">
      <x:c r="A94" s="41"/>
      <x:c r="B94" s="46"/>
      <x:c r="C94" s="41"/>
      <x:c r="D94" s="41"/>
      <x:c r="E94" s="50"/>
      <x:c r="F94" s="41"/>
      <x:c r="G94" s="41"/>
      <x:c r="H94" s="41"/>
      <x:c r="I94" s="52"/>
      <x:c r="J94" s="52"/>
      <x:c r="K94" s="53" t="str">
        <x:f>IF(A94="","",I94+J94)</x:f>
      </x:c>
      <x:c r="L94" s="55" t="str">
        <x:f>IF(A94="","",IF(H94="عرض 2 بـ120",'القوائم والإعدادات'!$B$6/2,IF(H94="عينة",0,'القوائم والإعدادات'!$B$5)))</x:f>
      </x:c>
      <x:c r="M94" s="55" t="str">
        <x:f>IF(A94="","",K94*L94)</x:f>
      </x:c>
      <x:c r="N94" s="56"/>
      <x:c r="O94" s="56"/>
      <x:c r="P94" s="56"/>
      <x:c r="Q94" s="55" t="str">
        <x:f>IF(A94="","",MAX(0,M94-N94+O94))</x:f>
      </x:c>
      <x:c r="R94" s="55" t="str">
        <x:f>IF(A94="","",I94*'المخزون'!$L$6+J94*'المخزون'!$L$7)</x:f>
      </x:c>
      <x:c r="S94" s="55" t="str">
        <x:f>IF(A94="","",Q94-R94-P94)</x:f>
      </x:c>
      <x:c r="T94" s="41"/>
      <x:c r="U94" s="41"/>
      <x:c r="V94" s="56"/>
      <x:c r="W94" s="55" t="str">
        <x:f>IF(A94="","",MAX(0,Q94-V94))</x:f>
      </x:c>
      <x:c r="X94" s="41"/>
      <x:c r="Y94" s="41"/>
      <x:c r="Z94" s="48"/>
      <x:c r="AA94" s="48"/>
      <x:c r="AB94" s="41"/>
      <x:c r="AC94" s="41"/>
      <x:c r="AD94" s="41"/>
      <x:c r="AE94" s="48"/>
      <x:c r="AF94" s="41"/>
      <x:c r="AG94" s="58" t="str">
        <x:f>IF(A94="","",IFERROR(VLOOKUP(A94,'الفيدباك'!$C$7:$G$206,5,FALSE),""))</x:f>
      </x:c>
      <x:c r="AH94" s="42" t="str">
        <x:f>IF(A94="","",IFERROR(VLOOKUP(A94,'الفيدباك'!$C$7:$L$206,10,FALSE),""))</x:f>
      </x:c>
      <x:c r="AI94" s="41"/>
      <x:c r="AJ94" s="42" t="str">
        <x:f>IF(A94="","",IF(A94="مثال-احذفه","صف توضيحي - احذفه قبل البدء",IF(X94="","حدّث حالة الطلب",IF(AND(X94&lt;&gt;"تم التوصيل",X94&lt;&gt;"ملغي",X94&lt;&gt;"مرتجع",Z94&lt;&gt;"",Z94&lt;TODAY()),"متأخر عن موعد التوصيل",IF(AND(X94="تم التوصيل",W94&gt;0),"حصّل المبلغ المتبقي",IF(AND(X94="تم التوصيل",AD94="موافق",OR(AF94="",AF94="لم يُطلب")),"ابعت لينك الفيدباك",IF(AND(AF94="تم إرسال الرابط",AE94&lt;&gt;"",TODAY()-AE94&gt;=3),"تابع الفيدباك","لا يوجد إجراء عاجل")))))))</x:f>
      </x:c>
    </x:row>
    <x:row r="95" ht="31" customHeight="1">
      <x:c r="A95" s="41"/>
      <x:c r="B95" s="46"/>
      <x:c r="C95" s="41"/>
      <x:c r="D95" s="41"/>
      <x:c r="E95" s="50"/>
      <x:c r="F95" s="41"/>
      <x:c r="G95" s="41"/>
      <x:c r="H95" s="41"/>
      <x:c r="I95" s="52"/>
      <x:c r="J95" s="52"/>
      <x:c r="K95" s="53" t="str">
        <x:f>IF(A95="","",I95+J95)</x:f>
      </x:c>
      <x:c r="L95" s="55" t="str">
        <x:f>IF(A95="","",IF(H95="عرض 2 بـ120",'القوائم والإعدادات'!$B$6/2,IF(H95="عينة",0,'القوائم والإعدادات'!$B$5)))</x:f>
      </x:c>
      <x:c r="M95" s="55" t="str">
        <x:f>IF(A95="","",K95*L95)</x:f>
      </x:c>
      <x:c r="N95" s="56"/>
      <x:c r="O95" s="56"/>
      <x:c r="P95" s="56"/>
      <x:c r="Q95" s="55" t="str">
        <x:f>IF(A95="","",MAX(0,M95-N95+O95))</x:f>
      </x:c>
      <x:c r="R95" s="55" t="str">
        <x:f>IF(A95="","",I95*'المخزون'!$L$6+J95*'المخزون'!$L$7)</x:f>
      </x:c>
      <x:c r="S95" s="55" t="str">
        <x:f>IF(A95="","",Q95-R95-P95)</x:f>
      </x:c>
      <x:c r="T95" s="41"/>
      <x:c r="U95" s="41"/>
      <x:c r="V95" s="56"/>
      <x:c r="W95" s="55" t="str">
        <x:f>IF(A95="","",MAX(0,Q95-V95))</x:f>
      </x:c>
      <x:c r="X95" s="41"/>
      <x:c r="Y95" s="41"/>
      <x:c r="Z95" s="48"/>
      <x:c r="AA95" s="48"/>
      <x:c r="AB95" s="41"/>
      <x:c r="AC95" s="41"/>
      <x:c r="AD95" s="41"/>
      <x:c r="AE95" s="48"/>
      <x:c r="AF95" s="41"/>
      <x:c r="AG95" s="58" t="str">
        <x:f>IF(A95="","",IFERROR(VLOOKUP(A95,'الفيدباك'!$C$7:$G$206,5,FALSE),""))</x:f>
      </x:c>
      <x:c r="AH95" s="42" t="str">
        <x:f>IF(A95="","",IFERROR(VLOOKUP(A95,'الفيدباك'!$C$7:$L$206,10,FALSE),""))</x:f>
      </x:c>
      <x:c r="AI95" s="41"/>
      <x:c r="AJ95" s="42" t="str">
        <x:f>IF(A95="","",IF(A95="مثال-احذفه","صف توضيحي - احذفه قبل البدء",IF(X95="","حدّث حالة الطلب",IF(AND(X95&lt;&gt;"تم التوصيل",X95&lt;&gt;"ملغي",X95&lt;&gt;"مرتجع",Z95&lt;&gt;"",Z95&lt;TODAY()),"متأخر عن موعد التوصيل",IF(AND(X95="تم التوصيل",W95&gt;0),"حصّل المبلغ المتبقي",IF(AND(X95="تم التوصيل",AD95="موافق",OR(AF95="",AF95="لم يُطلب")),"ابعت لينك الفيدباك",IF(AND(AF95="تم إرسال الرابط",AE95&lt;&gt;"",TODAY()-AE95&gt;=3),"تابع الفيدباك","لا يوجد إجراء عاجل")))))))</x:f>
      </x:c>
    </x:row>
    <x:row r="96" ht="31" customHeight="1">
      <x:c r="A96" s="41"/>
      <x:c r="B96" s="46"/>
      <x:c r="C96" s="41"/>
      <x:c r="D96" s="41"/>
      <x:c r="E96" s="50"/>
      <x:c r="F96" s="41"/>
      <x:c r="G96" s="41"/>
      <x:c r="H96" s="41"/>
      <x:c r="I96" s="52"/>
      <x:c r="J96" s="52"/>
      <x:c r="K96" s="53" t="str">
        <x:f>IF(A96="","",I96+J96)</x:f>
      </x:c>
      <x:c r="L96" s="55" t="str">
        <x:f>IF(A96="","",IF(H96="عرض 2 بـ120",'القوائم والإعدادات'!$B$6/2,IF(H96="عينة",0,'القوائم والإعدادات'!$B$5)))</x:f>
      </x:c>
      <x:c r="M96" s="55" t="str">
        <x:f>IF(A96="","",K96*L96)</x:f>
      </x:c>
      <x:c r="N96" s="56"/>
      <x:c r="O96" s="56"/>
      <x:c r="P96" s="56"/>
      <x:c r="Q96" s="55" t="str">
        <x:f>IF(A96="","",MAX(0,M96-N96+O96))</x:f>
      </x:c>
      <x:c r="R96" s="55" t="str">
        <x:f>IF(A96="","",I96*'المخزون'!$L$6+J96*'المخزون'!$L$7)</x:f>
      </x:c>
      <x:c r="S96" s="55" t="str">
        <x:f>IF(A96="","",Q96-R96-P96)</x:f>
      </x:c>
      <x:c r="T96" s="41"/>
      <x:c r="U96" s="41"/>
      <x:c r="V96" s="56"/>
      <x:c r="W96" s="55" t="str">
        <x:f>IF(A96="","",MAX(0,Q96-V96))</x:f>
      </x:c>
      <x:c r="X96" s="41"/>
      <x:c r="Y96" s="41"/>
      <x:c r="Z96" s="48"/>
      <x:c r="AA96" s="48"/>
      <x:c r="AB96" s="41"/>
      <x:c r="AC96" s="41"/>
      <x:c r="AD96" s="41"/>
      <x:c r="AE96" s="48"/>
      <x:c r="AF96" s="41"/>
      <x:c r="AG96" s="58" t="str">
        <x:f>IF(A96="","",IFERROR(VLOOKUP(A96,'الفيدباك'!$C$7:$G$206,5,FALSE),""))</x:f>
      </x:c>
      <x:c r="AH96" s="42" t="str">
        <x:f>IF(A96="","",IFERROR(VLOOKUP(A96,'الفيدباك'!$C$7:$L$206,10,FALSE),""))</x:f>
      </x:c>
      <x:c r="AI96" s="41"/>
      <x:c r="AJ96" s="42" t="str">
        <x:f>IF(A96="","",IF(A96="مثال-احذفه","صف توضيحي - احذفه قبل البدء",IF(X96="","حدّث حالة الطلب",IF(AND(X96&lt;&gt;"تم التوصيل",X96&lt;&gt;"ملغي",X96&lt;&gt;"مرتجع",Z96&lt;&gt;"",Z96&lt;TODAY()),"متأخر عن موعد التوصيل",IF(AND(X96="تم التوصيل",W96&gt;0),"حصّل المبلغ المتبقي",IF(AND(X96="تم التوصيل",AD96="موافق",OR(AF96="",AF96="لم يُطلب")),"ابعت لينك الفيدباك",IF(AND(AF96="تم إرسال الرابط",AE96&lt;&gt;"",TODAY()-AE96&gt;=3),"تابع الفيدباك","لا يوجد إجراء عاجل")))))))</x:f>
      </x:c>
    </x:row>
    <x:row r="97" ht="31" customHeight="1">
      <x:c r="A97" s="41"/>
      <x:c r="B97" s="46"/>
      <x:c r="C97" s="41"/>
      <x:c r="D97" s="41"/>
      <x:c r="E97" s="50"/>
      <x:c r="F97" s="41"/>
      <x:c r="G97" s="41"/>
      <x:c r="H97" s="41"/>
      <x:c r="I97" s="52"/>
      <x:c r="J97" s="52"/>
      <x:c r="K97" s="53" t="str">
        <x:f>IF(A97="","",I97+J97)</x:f>
      </x:c>
      <x:c r="L97" s="55" t="str">
        <x:f>IF(A97="","",IF(H97="عرض 2 بـ120",'القوائم والإعدادات'!$B$6/2,IF(H97="عينة",0,'القوائم والإعدادات'!$B$5)))</x:f>
      </x:c>
      <x:c r="M97" s="55" t="str">
        <x:f>IF(A97="","",K97*L97)</x:f>
      </x:c>
      <x:c r="N97" s="56"/>
      <x:c r="O97" s="56"/>
      <x:c r="P97" s="56"/>
      <x:c r="Q97" s="55" t="str">
        <x:f>IF(A97="","",MAX(0,M97-N97+O97))</x:f>
      </x:c>
      <x:c r="R97" s="55" t="str">
        <x:f>IF(A97="","",I97*'المخزون'!$L$6+J97*'المخزون'!$L$7)</x:f>
      </x:c>
      <x:c r="S97" s="55" t="str">
        <x:f>IF(A97="","",Q97-R97-P97)</x:f>
      </x:c>
      <x:c r="T97" s="41"/>
      <x:c r="U97" s="41"/>
      <x:c r="V97" s="56"/>
      <x:c r="W97" s="55" t="str">
        <x:f>IF(A97="","",MAX(0,Q97-V97))</x:f>
      </x:c>
      <x:c r="X97" s="41"/>
      <x:c r="Y97" s="41"/>
      <x:c r="Z97" s="48"/>
      <x:c r="AA97" s="48"/>
      <x:c r="AB97" s="41"/>
      <x:c r="AC97" s="41"/>
      <x:c r="AD97" s="41"/>
      <x:c r="AE97" s="48"/>
      <x:c r="AF97" s="41"/>
      <x:c r="AG97" s="58" t="str">
        <x:f>IF(A97="","",IFERROR(VLOOKUP(A97,'الفيدباك'!$C$7:$G$206,5,FALSE),""))</x:f>
      </x:c>
      <x:c r="AH97" s="42" t="str">
        <x:f>IF(A97="","",IFERROR(VLOOKUP(A97,'الفيدباك'!$C$7:$L$206,10,FALSE),""))</x:f>
      </x:c>
      <x:c r="AI97" s="41"/>
      <x:c r="AJ97" s="42" t="str">
        <x:f>IF(A97="","",IF(A97="مثال-احذفه","صف توضيحي - احذفه قبل البدء",IF(X97="","حدّث حالة الطلب",IF(AND(X97&lt;&gt;"تم التوصيل",X97&lt;&gt;"ملغي",X97&lt;&gt;"مرتجع",Z97&lt;&gt;"",Z97&lt;TODAY()),"متأخر عن موعد التوصيل",IF(AND(X97="تم التوصيل",W97&gt;0),"حصّل المبلغ المتبقي",IF(AND(X97="تم التوصيل",AD97="موافق",OR(AF97="",AF97="لم يُطلب")),"ابعت لينك الفيدباك",IF(AND(AF97="تم إرسال الرابط",AE97&lt;&gt;"",TODAY()-AE97&gt;=3),"تابع الفيدباك","لا يوجد إجراء عاجل")))))))</x:f>
      </x:c>
    </x:row>
    <x:row r="98" ht="31" customHeight="1">
      <x:c r="A98" s="41"/>
      <x:c r="B98" s="46"/>
      <x:c r="C98" s="41"/>
      <x:c r="D98" s="41"/>
      <x:c r="E98" s="50"/>
      <x:c r="F98" s="41"/>
      <x:c r="G98" s="41"/>
      <x:c r="H98" s="41"/>
      <x:c r="I98" s="52"/>
      <x:c r="J98" s="52"/>
      <x:c r="K98" s="53" t="str">
        <x:f>IF(A98="","",I98+J98)</x:f>
      </x:c>
      <x:c r="L98" s="55" t="str">
        <x:f>IF(A98="","",IF(H98="عرض 2 بـ120",'القوائم والإعدادات'!$B$6/2,IF(H98="عينة",0,'القوائم والإعدادات'!$B$5)))</x:f>
      </x:c>
      <x:c r="M98" s="55" t="str">
        <x:f>IF(A98="","",K98*L98)</x:f>
      </x:c>
      <x:c r="N98" s="56"/>
      <x:c r="O98" s="56"/>
      <x:c r="P98" s="56"/>
      <x:c r="Q98" s="55" t="str">
        <x:f>IF(A98="","",MAX(0,M98-N98+O98))</x:f>
      </x:c>
      <x:c r="R98" s="55" t="str">
        <x:f>IF(A98="","",I98*'المخزون'!$L$6+J98*'المخزون'!$L$7)</x:f>
      </x:c>
      <x:c r="S98" s="55" t="str">
        <x:f>IF(A98="","",Q98-R98-P98)</x:f>
      </x:c>
      <x:c r="T98" s="41"/>
      <x:c r="U98" s="41"/>
      <x:c r="V98" s="56"/>
      <x:c r="W98" s="55" t="str">
        <x:f>IF(A98="","",MAX(0,Q98-V98))</x:f>
      </x:c>
      <x:c r="X98" s="41"/>
      <x:c r="Y98" s="41"/>
      <x:c r="Z98" s="48"/>
      <x:c r="AA98" s="48"/>
      <x:c r="AB98" s="41"/>
      <x:c r="AC98" s="41"/>
      <x:c r="AD98" s="41"/>
      <x:c r="AE98" s="48"/>
      <x:c r="AF98" s="41"/>
      <x:c r="AG98" s="58" t="str">
        <x:f>IF(A98="","",IFERROR(VLOOKUP(A98,'الفيدباك'!$C$7:$G$206,5,FALSE),""))</x:f>
      </x:c>
      <x:c r="AH98" s="42" t="str">
        <x:f>IF(A98="","",IFERROR(VLOOKUP(A98,'الفيدباك'!$C$7:$L$206,10,FALSE),""))</x:f>
      </x:c>
      <x:c r="AI98" s="41"/>
      <x:c r="AJ98" s="42" t="str">
        <x:f>IF(A98="","",IF(A98="مثال-احذفه","صف توضيحي - احذفه قبل البدء",IF(X98="","حدّث حالة الطلب",IF(AND(X98&lt;&gt;"تم التوصيل",X98&lt;&gt;"ملغي",X98&lt;&gt;"مرتجع",Z98&lt;&gt;"",Z98&lt;TODAY()),"متأخر عن موعد التوصيل",IF(AND(X98="تم التوصيل",W98&gt;0),"حصّل المبلغ المتبقي",IF(AND(X98="تم التوصيل",AD98="موافق",OR(AF98="",AF98="لم يُطلب")),"ابعت لينك الفيدباك",IF(AND(AF98="تم إرسال الرابط",AE98&lt;&gt;"",TODAY()-AE98&gt;=3),"تابع الفيدباك","لا يوجد إجراء عاجل")))))))</x:f>
      </x:c>
    </x:row>
    <x:row r="99" ht="31" customHeight="1">
      <x:c r="A99" s="41"/>
      <x:c r="B99" s="46"/>
      <x:c r="C99" s="41"/>
      <x:c r="D99" s="41"/>
      <x:c r="E99" s="50"/>
      <x:c r="F99" s="41"/>
      <x:c r="G99" s="41"/>
      <x:c r="H99" s="41"/>
      <x:c r="I99" s="52"/>
      <x:c r="J99" s="52"/>
      <x:c r="K99" s="53" t="str">
        <x:f>IF(A99="","",I99+J99)</x:f>
      </x:c>
      <x:c r="L99" s="55" t="str">
        <x:f>IF(A99="","",IF(H99="عرض 2 بـ120",'القوائم والإعدادات'!$B$6/2,IF(H99="عينة",0,'القوائم والإعدادات'!$B$5)))</x:f>
      </x:c>
      <x:c r="M99" s="55" t="str">
        <x:f>IF(A99="","",K99*L99)</x:f>
      </x:c>
      <x:c r="N99" s="56"/>
      <x:c r="O99" s="56"/>
      <x:c r="P99" s="56"/>
      <x:c r="Q99" s="55" t="str">
        <x:f>IF(A99="","",MAX(0,M99-N99+O99))</x:f>
      </x:c>
      <x:c r="R99" s="55" t="str">
        <x:f>IF(A99="","",I99*'المخزون'!$L$6+J99*'المخزون'!$L$7)</x:f>
      </x:c>
      <x:c r="S99" s="55" t="str">
        <x:f>IF(A99="","",Q99-R99-P99)</x:f>
      </x:c>
      <x:c r="T99" s="41"/>
      <x:c r="U99" s="41"/>
      <x:c r="V99" s="56"/>
      <x:c r="W99" s="55" t="str">
        <x:f>IF(A99="","",MAX(0,Q99-V99))</x:f>
      </x:c>
      <x:c r="X99" s="41"/>
      <x:c r="Y99" s="41"/>
      <x:c r="Z99" s="48"/>
      <x:c r="AA99" s="48"/>
      <x:c r="AB99" s="41"/>
      <x:c r="AC99" s="41"/>
      <x:c r="AD99" s="41"/>
      <x:c r="AE99" s="48"/>
      <x:c r="AF99" s="41"/>
      <x:c r="AG99" s="58" t="str">
        <x:f>IF(A99="","",IFERROR(VLOOKUP(A99,'الفيدباك'!$C$7:$G$206,5,FALSE),""))</x:f>
      </x:c>
      <x:c r="AH99" s="42" t="str">
        <x:f>IF(A99="","",IFERROR(VLOOKUP(A99,'الفيدباك'!$C$7:$L$206,10,FALSE),""))</x:f>
      </x:c>
      <x:c r="AI99" s="41"/>
      <x:c r="AJ99" s="42" t="str">
        <x:f>IF(A99="","",IF(A99="مثال-احذفه","صف توضيحي - احذفه قبل البدء",IF(X99="","حدّث حالة الطلب",IF(AND(X99&lt;&gt;"تم التوصيل",X99&lt;&gt;"ملغي",X99&lt;&gt;"مرتجع",Z99&lt;&gt;"",Z99&lt;TODAY()),"متأخر عن موعد التوصيل",IF(AND(X99="تم التوصيل",W99&gt;0),"حصّل المبلغ المتبقي",IF(AND(X99="تم التوصيل",AD99="موافق",OR(AF99="",AF99="لم يُطلب")),"ابعت لينك الفيدباك",IF(AND(AF99="تم إرسال الرابط",AE99&lt;&gt;"",TODAY()-AE99&gt;=3),"تابع الفيدباك","لا يوجد إجراء عاجل")))))))</x:f>
      </x:c>
    </x:row>
    <x:row r="100" ht="31" customHeight="1">
      <x:c r="A100" s="41"/>
      <x:c r="B100" s="46"/>
      <x:c r="C100" s="41"/>
      <x:c r="D100" s="41"/>
      <x:c r="E100" s="50"/>
      <x:c r="F100" s="41"/>
      <x:c r="G100" s="41"/>
      <x:c r="H100" s="41"/>
      <x:c r="I100" s="52"/>
      <x:c r="J100" s="52"/>
      <x:c r="K100" s="53" t="str">
        <x:f>IF(A100="","",I100+J100)</x:f>
      </x:c>
      <x:c r="L100" s="55" t="str">
        <x:f>IF(A100="","",IF(H100="عرض 2 بـ120",'القوائم والإعدادات'!$B$6/2,IF(H100="عينة",0,'القوائم والإعدادات'!$B$5)))</x:f>
      </x:c>
      <x:c r="M100" s="55" t="str">
        <x:f>IF(A100="","",K100*L100)</x:f>
      </x:c>
      <x:c r="N100" s="56"/>
      <x:c r="O100" s="56"/>
      <x:c r="P100" s="56"/>
      <x:c r="Q100" s="55" t="str">
        <x:f>IF(A100="","",MAX(0,M100-N100+O100))</x:f>
      </x:c>
      <x:c r="R100" s="55" t="str">
        <x:f>IF(A100="","",I100*'المخزون'!$L$6+J100*'المخزون'!$L$7)</x:f>
      </x:c>
      <x:c r="S100" s="55" t="str">
        <x:f>IF(A100="","",Q100-R100-P100)</x:f>
      </x:c>
      <x:c r="T100" s="41"/>
      <x:c r="U100" s="41"/>
      <x:c r="V100" s="56"/>
      <x:c r="W100" s="55" t="str">
        <x:f>IF(A100="","",MAX(0,Q100-V100))</x:f>
      </x:c>
      <x:c r="X100" s="41"/>
      <x:c r="Y100" s="41"/>
      <x:c r="Z100" s="48"/>
      <x:c r="AA100" s="48"/>
      <x:c r="AB100" s="41"/>
      <x:c r="AC100" s="41"/>
      <x:c r="AD100" s="41"/>
      <x:c r="AE100" s="48"/>
      <x:c r="AF100" s="41"/>
      <x:c r="AG100" s="58" t="str">
        <x:f>IF(A100="","",IFERROR(VLOOKUP(A100,'الفيدباك'!$C$7:$G$206,5,FALSE),""))</x:f>
      </x:c>
      <x:c r="AH100" s="42" t="str">
        <x:f>IF(A100="","",IFERROR(VLOOKUP(A100,'الفيدباك'!$C$7:$L$206,10,FALSE),""))</x:f>
      </x:c>
      <x:c r="AI100" s="41"/>
      <x:c r="AJ100" s="42" t="str">
        <x:f>IF(A100="","",IF(A100="مثال-احذفه","صف توضيحي - احذفه قبل البدء",IF(X100="","حدّث حالة الطلب",IF(AND(X100&lt;&gt;"تم التوصيل",X100&lt;&gt;"ملغي",X100&lt;&gt;"مرتجع",Z100&lt;&gt;"",Z100&lt;TODAY()),"متأخر عن موعد التوصيل",IF(AND(X100="تم التوصيل",W100&gt;0),"حصّل المبلغ المتبقي",IF(AND(X100="تم التوصيل",AD100="موافق",OR(AF100="",AF100="لم يُطلب")),"ابعت لينك الفيدباك",IF(AND(AF100="تم إرسال الرابط",AE100&lt;&gt;"",TODAY()-AE100&gt;=3),"تابع الفيدباك","لا يوجد إجراء عاجل")))))))</x:f>
      </x:c>
    </x:row>
    <x:row r="101" ht="31" customHeight="1">
      <x:c r="A101" s="41"/>
      <x:c r="B101" s="46"/>
      <x:c r="C101" s="41"/>
      <x:c r="D101" s="41"/>
      <x:c r="E101" s="50"/>
      <x:c r="F101" s="41"/>
      <x:c r="G101" s="41"/>
      <x:c r="H101" s="41"/>
      <x:c r="I101" s="52"/>
      <x:c r="J101" s="52"/>
      <x:c r="K101" s="53" t="str">
        <x:f>IF(A101="","",I101+J101)</x:f>
      </x:c>
      <x:c r="L101" s="55" t="str">
        <x:f>IF(A101="","",IF(H101="عرض 2 بـ120",'القوائم والإعدادات'!$B$6/2,IF(H101="عينة",0,'القوائم والإعدادات'!$B$5)))</x:f>
      </x:c>
      <x:c r="M101" s="55" t="str">
        <x:f>IF(A101="","",K101*L101)</x:f>
      </x:c>
      <x:c r="N101" s="56"/>
      <x:c r="O101" s="56"/>
      <x:c r="P101" s="56"/>
      <x:c r="Q101" s="55" t="str">
        <x:f>IF(A101="","",MAX(0,M101-N101+O101))</x:f>
      </x:c>
      <x:c r="R101" s="55" t="str">
        <x:f>IF(A101="","",I101*'المخزون'!$L$6+J101*'المخزون'!$L$7)</x:f>
      </x:c>
      <x:c r="S101" s="55" t="str">
        <x:f>IF(A101="","",Q101-R101-P101)</x:f>
      </x:c>
      <x:c r="T101" s="41"/>
      <x:c r="U101" s="41"/>
      <x:c r="V101" s="56"/>
      <x:c r="W101" s="55" t="str">
        <x:f>IF(A101="","",MAX(0,Q101-V101))</x:f>
      </x:c>
      <x:c r="X101" s="41"/>
      <x:c r="Y101" s="41"/>
      <x:c r="Z101" s="48"/>
      <x:c r="AA101" s="48"/>
      <x:c r="AB101" s="41"/>
      <x:c r="AC101" s="41"/>
      <x:c r="AD101" s="41"/>
      <x:c r="AE101" s="48"/>
      <x:c r="AF101" s="41"/>
      <x:c r="AG101" s="58" t="str">
        <x:f>IF(A101="","",IFERROR(VLOOKUP(A101,'الفيدباك'!$C$7:$G$206,5,FALSE),""))</x:f>
      </x:c>
      <x:c r="AH101" s="42" t="str">
        <x:f>IF(A101="","",IFERROR(VLOOKUP(A101,'الفيدباك'!$C$7:$L$206,10,FALSE),""))</x:f>
      </x:c>
      <x:c r="AI101" s="41"/>
      <x:c r="AJ101" s="42" t="str">
        <x:f>IF(A101="","",IF(A101="مثال-احذفه","صف توضيحي - احذفه قبل البدء",IF(X101="","حدّث حالة الطلب",IF(AND(X101&lt;&gt;"تم التوصيل",X101&lt;&gt;"ملغي",X101&lt;&gt;"مرتجع",Z101&lt;&gt;"",Z101&lt;TODAY()),"متأخر عن موعد التوصيل",IF(AND(X101="تم التوصيل",W101&gt;0),"حصّل المبلغ المتبقي",IF(AND(X101="تم التوصيل",AD101="موافق",OR(AF101="",AF101="لم يُطلب")),"ابعت لينك الفيدباك",IF(AND(AF101="تم إرسال الرابط",AE101&lt;&gt;"",TODAY()-AE101&gt;=3),"تابع الفيدباك","لا يوجد إجراء عاجل")))))))</x:f>
      </x:c>
    </x:row>
    <x:row r="102" ht="31" customHeight="1">
      <x:c r="A102" s="41"/>
      <x:c r="B102" s="46"/>
      <x:c r="C102" s="41"/>
      <x:c r="D102" s="41"/>
      <x:c r="E102" s="50"/>
      <x:c r="F102" s="41"/>
      <x:c r="G102" s="41"/>
      <x:c r="H102" s="41"/>
      <x:c r="I102" s="52"/>
      <x:c r="J102" s="52"/>
      <x:c r="K102" s="53" t="str">
        <x:f>IF(A102="","",I102+J102)</x:f>
      </x:c>
      <x:c r="L102" s="55" t="str">
        <x:f>IF(A102="","",IF(H102="عرض 2 بـ120",'القوائم والإعدادات'!$B$6/2,IF(H102="عينة",0,'القوائم والإعدادات'!$B$5)))</x:f>
      </x:c>
      <x:c r="M102" s="55" t="str">
        <x:f>IF(A102="","",K102*L102)</x:f>
      </x:c>
      <x:c r="N102" s="56"/>
      <x:c r="O102" s="56"/>
      <x:c r="P102" s="56"/>
      <x:c r="Q102" s="55" t="str">
        <x:f>IF(A102="","",MAX(0,M102-N102+O102))</x:f>
      </x:c>
      <x:c r="R102" s="55" t="str">
        <x:f>IF(A102="","",I102*'المخزون'!$L$6+J102*'المخزون'!$L$7)</x:f>
      </x:c>
      <x:c r="S102" s="55" t="str">
        <x:f>IF(A102="","",Q102-R102-P102)</x:f>
      </x:c>
      <x:c r="T102" s="41"/>
      <x:c r="U102" s="41"/>
      <x:c r="V102" s="56"/>
      <x:c r="W102" s="55" t="str">
        <x:f>IF(A102="","",MAX(0,Q102-V102))</x:f>
      </x:c>
      <x:c r="X102" s="41"/>
      <x:c r="Y102" s="41"/>
      <x:c r="Z102" s="48"/>
      <x:c r="AA102" s="48"/>
      <x:c r="AB102" s="41"/>
      <x:c r="AC102" s="41"/>
      <x:c r="AD102" s="41"/>
      <x:c r="AE102" s="48"/>
      <x:c r="AF102" s="41"/>
      <x:c r="AG102" s="58" t="str">
        <x:f>IF(A102="","",IFERROR(VLOOKUP(A102,'الفيدباك'!$C$7:$G$206,5,FALSE),""))</x:f>
      </x:c>
      <x:c r="AH102" s="42" t="str">
        <x:f>IF(A102="","",IFERROR(VLOOKUP(A102,'الفيدباك'!$C$7:$L$206,10,FALSE),""))</x:f>
      </x:c>
      <x:c r="AI102" s="41"/>
      <x:c r="AJ102" s="42" t="str">
        <x:f>IF(A102="","",IF(A102="مثال-احذفه","صف توضيحي - احذفه قبل البدء",IF(X102="","حدّث حالة الطلب",IF(AND(X102&lt;&gt;"تم التوصيل",X102&lt;&gt;"ملغي",X102&lt;&gt;"مرتجع",Z102&lt;&gt;"",Z102&lt;TODAY()),"متأخر عن موعد التوصيل",IF(AND(X102="تم التوصيل",W102&gt;0),"حصّل المبلغ المتبقي",IF(AND(X102="تم التوصيل",AD102="موافق",OR(AF102="",AF102="لم يُطلب")),"ابعت لينك الفيدباك",IF(AND(AF102="تم إرسال الرابط",AE102&lt;&gt;"",TODAY()-AE102&gt;=3),"تابع الفيدباك","لا يوجد إجراء عاجل")))))))</x:f>
      </x:c>
    </x:row>
    <x:row r="103" ht="31" customHeight="1">
      <x:c r="A103" s="41"/>
      <x:c r="B103" s="46"/>
      <x:c r="C103" s="41"/>
      <x:c r="D103" s="41"/>
      <x:c r="E103" s="50"/>
      <x:c r="F103" s="41"/>
      <x:c r="G103" s="41"/>
      <x:c r="H103" s="41"/>
      <x:c r="I103" s="52"/>
      <x:c r="J103" s="52"/>
      <x:c r="K103" s="53" t="str">
        <x:f>IF(A103="","",I103+J103)</x:f>
      </x:c>
      <x:c r="L103" s="55" t="str">
        <x:f>IF(A103="","",IF(H103="عرض 2 بـ120",'القوائم والإعدادات'!$B$6/2,IF(H103="عينة",0,'القوائم والإعدادات'!$B$5)))</x:f>
      </x:c>
      <x:c r="M103" s="55" t="str">
        <x:f>IF(A103="","",K103*L103)</x:f>
      </x:c>
      <x:c r="N103" s="56"/>
      <x:c r="O103" s="56"/>
      <x:c r="P103" s="56"/>
      <x:c r="Q103" s="55" t="str">
        <x:f>IF(A103="","",MAX(0,M103-N103+O103))</x:f>
      </x:c>
      <x:c r="R103" s="55" t="str">
        <x:f>IF(A103="","",I103*'المخزون'!$L$6+J103*'المخزون'!$L$7)</x:f>
      </x:c>
      <x:c r="S103" s="55" t="str">
        <x:f>IF(A103="","",Q103-R103-P103)</x:f>
      </x:c>
      <x:c r="T103" s="41"/>
      <x:c r="U103" s="41"/>
      <x:c r="V103" s="56"/>
      <x:c r="W103" s="55" t="str">
        <x:f>IF(A103="","",MAX(0,Q103-V103))</x:f>
      </x:c>
      <x:c r="X103" s="41"/>
      <x:c r="Y103" s="41"/>
      <x:c r="Z103" s="48"/>
      <x:c r="AA103" s="48"/>
      <x:c r="AB103" s="41"/>
      <x:c r="AC103" s="41"/>
      <x:c r="AD103" s="41"/>
      <x:c r="AE103" s="48"/>
      <x:c r="AF103" s="41"/>
      <x:c r="AG103" s="58" t="str">
        <x:f>IF(A103="","",IFERROR(VLOOKUP(A103,'الفيدباك'!$C$7:$G$206,5,FALSE),""))</x:f>
      </x:c>
      <x:c r="AH103" s="42" t="str">
        <x:f>IF(A103="","",IFERROR(VLOOKUP(A103,'الفيدباك'!$C$7:$L$206,10,FALSE),""))</x:f>
      </x:c>
      <x:c r="AI103" s="41"/>
      <x:c r="AJ103" s="42" t="str">
        <x:f>IF(A103="","",IF(A103="مثال-احذفه","صف توضيحي - احذفه قبل البدء",IF(X103="","حدّث حالة الطلب",IF(AND(X103&lt;&gt;"تم التوصيل",X103&lt;&gt;"ملغي",X103&lt;&gt;"مرتجع",Z103&lt;&gt;"",Z103&lt;TODAY()),"متأخر عن موعد التوصيل",IF(AND(X103="تم التوصيل",W103&gt;0),"حصّل المبلغ المتبقي",IF(AND(X103="تم التوصيل",AD103="موافق",OR(AF103="",AF103="لم يُطلب")),"ابعت لينك الفيدباك",IF(AND(AF103="تم إرسال الرابط",AE103&lt;&gt;"",TODAY()-AE103&gt;=3),"تابع الفيدباك","لا يوجد إجراء عاجل")))))))</x:f>
      </x:c>
    </x:row>
    <x:row r="104" ht="31" customHeight="1">
      <x:c r="A104" s="41"/>
      <x:c r="B104" s="46"/>
      <x:c r="C104" s="41"/>
      <x:c r="D104" s="41"/>
      <x:c r="E104" s="50"/>
      <x:c r="F104" s="41"/>
      <x:c r="G104" s="41"/>
      <x:c r="H104" s="41"/>
      <x:c r="I104" s="52"/>
      <x:c r="J104" s="52"/>
      <x:c r="K104" s="53" t="str">
        <x:f>IF(A104="","",I104+J104)</x:f>
      </x:c>
      <x:c r="L104" s="55" t="str">
        <x:f>IF(A104="","",IF(H104="عرض 2 بـ120",'القوائم والإعدادات'!$B$6/2,IF(H104="عينة",0,'القوائم والإعدادات'!$B$5)))</x:f>
      </x:c>
      <x:c r="M104" s="55" t="str">
        <x:f>IF(A104="","",K104*L104)</x:f>
      </x:c>
      <x:c r="N104" s="56"/>
      <x:c r="O104" s="56"/>
      <x:c r="P104" s="56"/>
      <x:c r="Q104" s="55" t="str">
        <x:f>IF(A104="","",MAX(0,M104-N104+O104))</x:f>
      </x:c>
      <x:c r="R104" s="55" t="str">
        <x:f>IF(A104="","",I104*'المخزون'!$L$6+J104*'المخزون'!$L$7)</x:f>
      </x:c>
      <x:c r="S104" s="55" t="str">
        <x:f>IF(A104="","",Q104-R104-P104)</x:f>
      </x:c>
      <x:c r="T104" s="41"/>
      <x:c r="U104" s="41"/>
      <x:c r="V104" s="56"/>
      <x:c r="W104" s="55" t="str">
        <x:f>IF(A104="","",MAX(0,Q104-V104))</x:f>
      </x:c>
      <x:c r="X104" s="41"/>
      <x:c r="Y104" s="41"/>
      <x:c r="Z104" s="48"/>
      <x:c r="AA104" s="48"/>
      <x:c r="AB104" s="41"/>
      <x:c r="AC104" s="41"/>
      <x:c r="AD104" s="41"/>
      <x:c r="AE104" s="48"/>
      <x:c r="AF104" s="41"/>
      <x:c r="AG104" s="58" t="str">
        <x:f>IF(A104="","",IFERROR(VLOOKUP(A104,'الفيدباك'!$C$7:$G$206,5,FALSE),""))</x:f>
      </x:c>
      <x:c r="AH104" s="42" t="str">
        <x:f>IF(A104="","",IFERROR(VLOOKUP(A104,'الفيدباك'!$C$7:$L$206,10,FALSE),""))</x:f>
      </x:c>
      <x:c r="AI104" s="41"/>
      <x:c r="AJ104" s="42" t="str">
        <x:f>IF(A104="","",IF(A104="مثال-احذفه","صف توضيحي - احذفه قبل البدء",IF(X104="","حدّث حالة الطلب",IF(AND(X104&lt;&gt;"تم التوصيل",X104&lt;&gt;"ملغي",X104&lt;&gt;"مرتجع",Z104&lt;&gt;"",Z104&lt;TODAY()),"متأخر عن موعد التوصيل",IF(AND(X104="تم التوصيل",W104&gt;0),"حصّل المبلغ المتبقي",IF(AND(X104="تم التوصيل",AD104="موافق",OR(AF104="",AF104="لم يُطلب")),"ابعت لينك الفيدباك",IF(AND(AF104="تم إرسال الرابط",AE104&lt;&gt;"",TODAY()-AE104&gt;=3),"تابع الفيدباك","لا يوجد إجراء عاجل")))))))</x:f>
      </x:c>
    </x:row>
    <x:row r="105" ht="31" customHeight="1">
      <x:c r="A105" s="41"/>
      <x:c r="B105" s="46"/>
      <x:c r="C105" s="41"/>
      <x:c r="D105" s="41"/>
      <x:c r="E105" s="50"/>
      <x:c r="F105" s="41"/>
      <x:c r="G105" s="41"/>
      <x:c r="H105" s="41"/>
      <x:c r="I105" s="52"/>
      <x:c r="J105" s="52"/>
      <x:c r="K105" s="53" t="str">
        <x:f>IF(A105="","",I105+J105)</x:f>
      </x:c>
      <x:c r="L105" s="55" t="str">
        <x:f>IF(A105="","",IF(H105="عرض 2 بـ120",'القوائم والإعدادات'!$B$6/2,IF(H105="عينة",0,'القوائم والإعدادات'!$B$5)))</x:f>
      </x:c>
      <x:c r="M105" s="55" t="str">
        <x:f>IF(A105="","",K105*L105)</x:f>
      </x:c>
      <x:c r="N105" s="56"/>
      <x:c r="O105" s="56"/>
      <x:c r="P105" s="56"/>
      <x:c r="Q105" s="55" t="str">
        <x:f>IF(A105="","",MAX(0,M105-N105+O105))</x:f>
      </x:c>
      <x:c r="R105" s="55" t="str">
        <x:f>IF(A105="","",I105*'المخزون'!$L$6+J105*'المخزون'!$L$7)</x:f>
      </x:c>
      <x:c r="S105" s="55" t="str">
        <x:f>IF(A105="","",Q105-R105-P105)</x:f>
      </x:c>
      <x:c r="T105" s="41"/>
      <x:c r="U105" s="41"/>
      <x:c r="V105" s="56"/>
      <x:c r="W105" s="55" t="str">
        <x:f>IF(A105="","",MAX(0,Q105-V105))</x:f>
      </x:c>
      <x:c r="X105" s="41"/>
      <x:c r="Y105" s="41"/>
      <x:c r="Z105" s="48"/>
      <x:c r="AA105" s="48"/>
      <x:c r="AB105" s="41"/>
      <x:c r="AC105" s="41"/>
      <x:c r="AD105" s="41"/>
      <x:c r="AE105" s="48"/>
      <x:c r="AF105" s="41"/>
      <x:c r="AG105" s="58" t="str">
        <x:f>IF(A105="","",IFERROR(VLOOKUP(A105,'الفيدباك'!$C$7:$G$206,5,FALSE),""))</x:f>
      </x:c>
      <x:c r="AH105" s="42" t="str">
        <x:f>IF(A105="","",IFERROR(VLOOKUP(A105,'الفيدباك'!$C$7:$L$206,10,FALSE),""))</x:f>
      </x:c>
      <x:c r="AI105" s="41"/>
      <x:c r="AJ105" s="42" t="str">
        <x:f>IF(A105="","",IF(A105="مثال-احذفه","صف توضيحي - احذفه قبل البدء",IF(X105="","حدّث حالة الطلب",IF(AND(X105&lt;&gt;"تم التوصيل",X105&lt;&gt;"ملغي",X105&lt;&gt;"مرتجع",Z105&lt;&gt;"",Z105&lt;TODAY()),"متأخر عن موعد التوصيل",IF(AND(X105="تم التوصيل",W105&gt;0),"حصّل المبلغ المتبقي",IF(AND(X105="تم التوصيل",AD105="موافق",OR(AF105="",AF105="لم يُطلب")),"ابعت لينك الفيدباك",IF(AND(AF105="تم إرسال الرابط",AE105&lt;&gt;"",TODAY()-AE105&gt;=3),"تابع الفيدباك","لا يوجد إجراء عاجل")))))))</x:f>
      </x:c>
    </x:row>
    <x:row r="106" ht="31" customHeight="1">
      <x:c r="A106" s="41"/>
      <x:c r="B106" s="46"/>
      <x:c r="C106" s="41"/>
      <x:c r="D106" s="41"/>
      <x:c r="E106" s="50"/>
      <x:c r="F106" s="41"/>
      <x:c r="G106" s="41"/>
      <x:c r="H106" s="41"/>
      <x:c r="I106" s="52"/>
      <x:c r="J106" s="52"/>
      <x:c r="K106" s="53" t="str">
        <x:f>IF(A106="","",I106+J106)</x:f>
      </x:c>
      <x:c r="L106" s="55" t="str">
        <x:f>IF(A106="","",IF(H106="عرض 2 بـ120",'القوائم والإعدادات'!$B$6/2,IF(H106="عينة",0,'القوائم والإعدادات'!$B$5)))</x:f>
      </x:c>
      <x:c r="M106" s="55" t="str">
        <x:f>IF(A106="","",K106*L106)</x:f>
      </x:c>
      <x:c r="N106" s="56"/>
      <x:c r="O106" s="56"/>
      <x:c r="P106" s="56"/>
      <x:c r="Q106" s="55" t="str">
        <x:f>IF(A106="","",MAX(0,M106-N106+O106))</x:f>
      </x:c>
      <x:c r="R106" s="55" t="str">
        <x:f>IF(A106="","",I106*'المخزون'!$L$6+J106*'المخزون'!$L$7)</x:f>
      </x:c>
      <x:c r="S106" s="55" t="str">
        <x:f>IF(A106="","",Q106-R106-P106)</x:f>
      </x:c>
      <x:c r="T106" s="41"/>
      <x:c r="U106" s="41"/>
      <x:c r="V106" s="56"/>
      <x:c r="W106" s="55" t="str">
        <x:f>IF(A106="","",MAX(0,Q106-V106))</x:f>
      </x:c>
      <x:c r="X106" s="41"/>
      <x:c r="Y106" s="41"/>
      <x:c r="Z106" s="48"/>
      <x:c r="AA106" s="48"/>
      <x:c r="AB106" s="41"/>
      <x:c r="AC106" s="41"/>
      <x:c r="AD106" s="41"/>
      <x:c r="AE106" s="48"/>
      <x:c r="AF106" s="41"/>
      <x:c r="AG106" s="58" t="str">
        <x:f>IF(A106="","",IFERROR(VLOOKUP(A106,'الفيدباك'!$C$7:$G$206,5,FALSE),""))</x:f>
      </x:c>
      <x:c r="AH106" s="42" t="str">
        <x:f>IF(A106="","",IFERROR(VLOOKUP(A106,'الفيدباك'!$C$7:$L$206,10,FALSE),""))</x:f>
      </x:c>
      <x:c r="AI106" s="41"/>
      <x:c r="AJ106" s="42" t="str">
        <x:f>IF(A106="","",IF(A106="مثال-احذفه","صف توضيحي - احذفه قبل البدء",IF(X106="","حدّث حالة الطلب",IF(AND(X106&lt;&gt;"تم التوصيل",X106&lt;&gt;"ملغي",X106&lt;&gt;"مرتجع",Z106&lt;&gt;"",Z106&lt;TODAY()),"متأخر عن موعد التوصيل",IF(AND(X106="تم التوصيل",W106&gt;0),"حصّل المبلغ المتبقي",IF(AND(X106="تم التوصيل",AD106="موافق",OR(AF106="",AF106="لم يُطلب")),"ابعت لينك الفيدباك",IF(AND(AF106="تم إرسال الرابط",AE106&lt;&gt;"",TODAY()-AE106&gt;=3),"تابع الفيدباك","لا يوجد إجراء عاجل")))))))</x:f>
      </x:c>
    </x:row>
    <x:row r="107" ht="31" customHeight="1">
      <x:c r="A107" s="41"/>
      <x:c r="B107" s="46"/>
      <x:c r="C107" s="41"/>
      <x:c r="D107" s="41"/>
      <x:c r="E107" s="50"/>
      <x:c r="F107" s="41"/>
      <x:c r="G107" s="41"/>
      <x:c r="H107" s="41"/>
      <x:c r="I107" s="52"/>
      <x:c r="J107" s="52"/>
      <x:c r="K107" s="53" t="str">
        <x:f>IF(A107="","",I107+J107)</x:f>
      </x:c>
      <x:c r="L107" s="55" t="str">
        <x:f>IF(A107="","",IF(H107="عرض 2 بـ120",'القوائم والإعدادات'!$B$6/2,IF(H107="عينة",0,'القوائم والإعدادات'!$B$5)))</x:f>
      </x:c>
      <x:c r="M107" s="55" t="str">
        <x:f>IF(A107="","",K107*L107)</x:f>
      </x:c>
      <x:c r="N107" s="56"/>
      <x:c r="O107" s="56"/>
      <x:c r="P107" s="56"/>
      <x:c r="Q107" s="55" t="str">
        <x:f>IF(A107="","",MAX(0,M107-N107+O107))</x:f>
      </x:c>
      <x:c r="R107" s="55" t="str">
        <x:f>IF(A107="","",I107*'المخزون'!$L$6+J107*'المخزون'!$L$7)</x:f>
      </x:c>
      <x:c r="S107" s="55" t="str">
        <x:f>IF(A107="","",Q107-R107-P107)</x:f>
      </x:c>
      <x:c r="T107" s="41"/>
      <x:c r="U107" s="41"/>
      <x:c r="V107" s="56"/>
      <x:c r="W107" s="55" t="str">
        <x:f>IF(A107="","",MAX(0,Q107-V107))</x:f>
      </x:c>
      <x:c r="X107" s="41"/>
      <x:c r="Y107" s="41"/>
      <x:c r="Z107" s="48"/>
      <x:c r="AA107" s="48"/>
      <x:c r="AB107" s="41"/>
      <x:c r="AC107" s="41"/>
      <x:c r="AD107" s="41"/>
      <x:c r="AE107" s="48"/>
      <x:c r="AF107" s="41"/>
      <x:c r="AG107" s="58" t="str">
        <x:f>IF(A107="","",IFERROR(VLOOKUP(A107,'الفيدباك'!$C$7:$G$206,5,FALSE),""))</x:f>
      </x:c>
      <x:c r="AH107" s="42" t="str">
        <x:f>IF(A107="","",IFERROR(VLOOKUP(A107,'الفيدباك'!$C$7:$L$206,10,FALSE),""))</x:f>
      </x:c>
      <x:c r="AI107" s="41"/>
      <x:c r="AJ107" s="42" t="str">
        <x:f>IF(A107="","",IF(A107="مثال-احذفه","صف توضيحي - احذفه قبل البدء",IF(X107="","حدّث حالة الطلب",IF(AND(X107&lt;&gt;"تم التوصيل",X107&lt;&gt;"ملغي",X107&lt;&gt;"مرتجع",Z107&lt;&gt;"",Z107&lt;TODAY()),"متأخر عن موعد التوصيل",IF(AND(X107="تم التوصيل",W107&gt;0),"حصّل المبلغ المتبقي",IF(AND(X107="تم التوصيل",AD107="موافق",OR(AF107="",AF107="لم يُطلب")),"ابعت لينك الفيدباك",IF(AND(AF107="تم إرسال الرابط",AE107&lt;&gt;"",TODAY()-AE107&gt;=3),"تابع الفيدباك","لا يوجد إجراء عاجل")))))))</x:f>
      </x:c>
    </x:row>
    <x:row r="108" ht="31" customHeight="1">
      <x:c r="A108" s="41"/>
      <x:c r="B108" s="46"/>
      <x:c r="C108" s="41"/>
      <x:c r="D108" s="41"/>
      <x:c r="E108" s="50"/>
      <x:c r="F108" s="41"/>
      <x:c r="G108" s="41"/>
      <x:c r="H108" s="41"/>
      <x:c r="I108" s="52"/>
      <x:c r="J108" s="52"/>
      <x:c r="K108" s="53" t="str">
        <x:f>IF(A108="","",I108+J108)</x:f>
      </x:c>
      <x:c r="L108" s="55" t="str">
        <x:f>IF(A108="","",IF(H108="عرض 2 بـ120",'القوائم والإعدادات'!$B$6/2,IF(H108="عينة",0,'القوائم والإعدادات'!$B$5)))</x:f>
      </x:c>
      <x:c r="M108" s="55" t="str">
        <x:f>IF(A108="","",K108*L108)</x:f>
      </x:c>
      <x:c r="N108" s="56"/>
      <x:c r="O108" s="56"/>
      <x:c r="P108" s="56"/>
      <x:c r="Q108" s="55" t="str">
        <x:f>IF(A108="","",MAX(0,M108-N108+O108))</x:f>
      </x:c>
      <x:c r="R108" s="55" t="str">
        <x:f>IF(A108="","",I108*'المخزون'!$L$6+J108*'المخزون'!$L$7)</x:f>
      </x:c>
      <x:c r="S108" s="55" t="str">
        <x:f>IF(A108="","",Q108-R108-P108)</x:f>
      </x:c>
      <x:c r="T108" s="41"/>
      <x:c r="U108" s="41"/>
      <x:c r="V108" s="56"/>
      <x:c r="W108" s="55" t="str">
        <x:f>IF(A108="","",MAX(0,Q108-V108))</x:f>
      </x:c>
      <x:c r="X108" s="41"/>
      <x:c r="Y108" s="41"/>
      <x:c r="Z108" s="48"/>
      <x:c r="AA108" s="48"/>
      <x:c r="AB108" s="41"/>
      <x:c r="AC108" s="41"/>
      <x:c r="AD108" s="41"/>
      <x:c r="AE108" s="48"/>
      <x:c r="AF108" s="41"/>
      <x:c r="AG108" s="58" t="str">
        <x:f>IF(A108="","",IFERROR(VLOOKUP(A108,'الفيدباك'!$C$7:$G$206,5,FALSE),""))</x:f>
      </x:c>
      <x:c r="AH108" s="42" t="str">
        <x:f>IF(A108="","",IFERROR(VLOOKUP(A108,'الفيدباك'!$C$7:$L$206,10,FALSE),""))</x:f>
      </x:c>
      <x:c r="AI108" s="41"/>
      <x:c r="AJ108" s="42" t="str">
        <x:f>IF(A108="","",IF(A108="مثال-احذفه","صف توضيحي - احذفه قبل البدء",IF(X108="","حدّث حالة الطلب",IF(AND(X108&lt;&gt;"تم التوصيل",X108&lt;&gt;"ملغي",X108&lt;&gt;"مرتجع",Z108&lt;&gt;"",Z108&lt;TODAY()),"متأخر عن موعد التوصيل",IF(AND(X108="تم التوصيل",W108&gt;0),"حصّل المبلغ المتبقي",IF(AND(X108="تم التوصيل",AD108="موافق",OR(AF108="",AF108="لم يُطلب")),"ابعت لينك الفيدباك",IF(AND(AF108="تم إرسال الرابط",AE108&lt;&gt;"",TODAY()-AE108&gt;=3),"تابع الفيدباك","لا يوجد إجراء عاجل")))))))</x:f>
      </x:c>
    </x:row>
    <x:row r="109" ht="31" customHeight="1">
      <x:c r="A109" s="41"/>
      <x:c r="B109" s="46"/>
      <x:c r="C109" s="41"/>
      <x:c r="D109" s="41"/>
      <x:c r="E109" s="50"/>
      <x:c r="F109" s="41"/>
      <x:c r="G109" s="41"/>
      <x:c r="H109" s="41"/>
      <x:c r="I109" s="52"/>
      <x:c r="J109" s="52"/>
      <x:c r="K109" s="53" t="str">
        <x:f>IF(A109="","",I109+J109)</x:f>
      </x:c>
      <x:c r="L109" s="55" t="str">
        <x:f>IF(A109="","",IF(H109="عرض 2 بـ120",'القوائم والإعدادات'!$B$6/2,IF(H109="عينة",0,'القوائم والإعدادات'!$B$5)))</x:f>
      </x:c>
      <x:c r="M109" s="55" t="str">
        <x:f>IF(A109="","",K109*L109)</x:f>
      </x:c>
      <x:c r="N109" s="56"/>
      <x:c r="O109" s="56"/>
      <x:c r="P109" s="56"/>
      <x:c r="Q109" s="55" t="str">
        <x:f>IF(A109="","",MAX(0,M109-N109+O109))</x:f>
      </x:c>
      <x:c r="R109" s="55" t="str">
        <x:f>IF(A109="","",I109*'المخزون'!$L$6+J109*'المخزون'!$L$7)</x:f>
      </x:c>
      <x:c r="S109" s="55" t="str">
        <x:f>IF(A109="","",Q109-R109-P109)</x:f>
      </x:c>
      <x:c r="T109" s="41"/>
      <x:c r="U109" s="41"/>
      <x:c r="V109" s="56"/>
      <x:c r="W109" s="55" t="str">
        <x:f>IF(A109="","",MAX(0,Q109-V109))</x:f>
      </x:c>
      <x:c r="X109" s="41"/>
      <x:c r="Y109" s="41"/>
      <x:c r="Z109" s="48"/>
      <x:c r="AA109" s="48"/>
      <x:c r="AB109" s="41"/>
      <x:c r="AC109" s="41"/>
      <x:c r="AD109" s="41"/>
      <x:c r="AE109" s="48"/>
      <x:c r="AF109" s="41"/>
      <x:c r="AG109" s="58" t="str">
        <x:f>IF(A109="","",IFERROR(VLOOKUP(A109,'الفيدباك'!$C$7:$G$206,5,FALSE),""))</x:f>
      </x:c>
      <x:c r="AH109" s="42" t="str">
        <x:f>IF(A109="","",IFERROR(VLOOKUP(A109,'الفيدباك'!$C$7:$L$206,10,FALSE),""))</x:f>
      </x:c>
      <x:c r="AI109" s="41"/>
      <x:c r="AJ109" s="42" t="str">
        <x:f>IF(A109="","",IF(A109="مثال-احذفه","صف توضيحي - احذفه قبل البدء",IF(X109="","حدّث حالة الطلب",IF(AND(X109&lt;&gt;"تم التوصيل",X109&lt;&gt;"ملغي",X109&lt;&gt;"مرتجع",Z109&lt;&gt;"",Z109&lt;TODAY()),"متأخر عن موعد التوصيل",IF(AND(X109="تم التوصيل",W109&gt;0),"حصّل المبلغ المتبقي",IF(AND(X109="تم التوصيل",AD109="موافق",OR(AF109="",AF109="لم يُطلب")),"ابعت لينك الفيدباك",IF(AND(AF109="تم إرسال الرابط",AE109&lt;&gt;"",TODAY()-AE109&gt;=3),"تابع الفيدباك","لا يوجد إجراء عاجل")))))))</x:f>
      </x:c>
    </x:row>
    <x:row r="110" ht="31" customHeight="1">
      <x:c r="A110" s="41"/>
      <x:c r="B110" s="46"/>
      <x:c r="C110" s="41"/>
      <x:c r="D110" s="41"/>
      <x:c r="E110" s="50"/>
      <x:c r="F110" s="41"/>
      <x:c r="G110" s="41"/>
      <x:c r="H110" s="41"/>
      <x:c r="I110" s="52"/>
      <x:c r="J110" s="52"/>
      <x:c r="K110" s="53" t="str">
        <x:f>IF(A110="","",I110+J110)</x:f>
      </x:c>
      <x:c r="L110" s="55" t="str">
        <x:f>IF(A110="","",IF(H110="عرض 2 بـ120",'القوائم والإعدادات'!$B$6/2,IF(H110="عينة",0,'القوائم والإعدادات'!$B$5)))</x:f>
      </x:c>
      <x:c r="M110" s="55" t="str">
        <x:f>IF(A110="","",K110*L110)</x:f>
      </x:c>
      <x:c r="N110" s="56"/>
      <x:c r="O110" s="56"/>
      <x:c r="P110" s="56"/>
      <x:c r="Q110" s="55" t="str">
        <x:f>IF(A110="","",MAX(0,M110-N110+O110))</x:f>
      </x:c>
      <x:c r="R110" s="55" t="str">
        <x:f>IF(A110="","",I110*'المخزون'!$L$6+J110*'المخزون'!$L$7)</x:f>
      </x:c>
      <x:c r="S110" s="55" t="str">
        <x:f>IF(A110="","",Q110-R110-P110)</x:f>
      </x:c>
      <x:c r="T110" s="41"/>
      <x:c r="U110" s="41"/>
      <x:c r="V110" s="56"/>
      <x:c r="W110" s="55" t="str">
        <x:f>IF(A110="","",MAX(0,Q110-V110))</x:f>
      </x:c>
      <x:c r="X110" s="41"/>
      <x:c r="Y110" s="41"/>
      <x:c r="Z110" s="48"/>
      <x:c r="AA110" s="48"/>
      <x:c r="AB110" s="41"/>
      <x:c r="AC110" s="41"/>
      <x:c r="AD110" s="41"/>
      <x:c r="AE110" s="48"/>
      <x:c r="AF110" s="41"/>
      <x:c r="AG110" s="58" t="str">
        <x:f>IF(A110="","",IFERROR(VLOOKUP(A110,'الفيدباك'!$C$7:$G$206,5,FALSE),""))</x:f>
      </x:c>
      <x:c r="AH110" s="42" t="str">
        <x:f>IF(A110="","",IFERROR(VLOOKUP(A110,'الفيدباك'!$C$7:$L$206,10,FALSE),""))</x:f>
      </x:c>
      <x:c r="AI110" s="41"/>
      <x:c r="AJ110" s="42" t="str">
        <x:f>IF(A110="","",IF(A110="مثال-احذفه","صف توضيحي - احذفه قبل البدء",IF(X110="","حدّث حالة الطلب",IF(AND(X110&lt;&gt;"تم التوصيل",X110&lt;&gt;"ملغي",X110&lt;&gt;"مرتجع",Z110&lt;&gt;"",Z110&lt;TODAY()),"متأخر عن موعد التوصيل",IF(AND(X110="تم التوصيل",W110&gt;0),"حصّل المبلغ المتبقي",IF(AND(X110="تم التوصيل",AD110="موافق",OR(AF110="",AF110="لم يُطلب")),"ابعت لينك الفيدباك",IF(AND(AF110="تم إرسال الرابط",AE110&lt;&gt;"",TODAY()-AE110&gt;=3),"تابع الفيدباك","لا يوجد إجراء عاجل")))))))</x:f>
      </x:c>
    </x:row>
    <x:row r="111" ht="31" customHeight="1">
      <x:c r="A111" s="41"/>
      <x:c r="B111" s="46"/>
      <x:c r="C111" s="41"/>
      <x:c r="D111" s="41"/>
      <x:c r="E111" s="50"/>
      <x:c r="F111" s="41"/>
      <x:c r="G111" s="41"/>
      <x:c r="H111" s="41"/>
      <x:c r="I111" s="52"/>
      <x:c r="J111" s="52"/>
      <x:c r="K111" s="53" t="str">
        <x:f>IF(A111="","",I111+J111)</x:f>
      </x:c>
      <x:c r="L111" s="55" t="str">
        <x:f>IF(A111="","",IF(H111="عرض 2 بـ120",'القوائم والإعدادات'!$B$6/2,IF(H111="عينة",0,'القوائم والإعدادات'!$B$5)))</x:f>
      </x:c>
      <x:c r="M111" s="55" t="str">
        <x:f>IF(A111="","",K111*L111)</x:f>
      </x:c>
      <x:c r="N111" s="56"/>
      <x:c r="O111" s="56"/>
      <x:c r="P111" s="56"/>
      <x:c r="Q111" s="55" t="str">
        <x:f>IF(A111="","",MAX(0,M111-N111+O111))</x:f>
      </x:c>
      <x:c r="R111" s="55" t="str">
        <x:f>IF(A111="","",I111*'المخزون'!$L$6+J111*'المخزون'!$L$7)</x:f>
      </x:c>
      <x:c r="S111" s="55" t="str">
        <x:f>IF(A111="","",Q111-R111-P111)</x:f>
      </x:c>
      <x:c r="T111" s="41"/>
      <x:c r="U111" s="41"/>
      <x:c r="V111" s="56"/>
      <x:c r="W111" s="55" t="str">
        <x:f>IF(A111="","",MAX(0,Q111-V111))</x:f>
      </x:c>
      <x:c r="X111" s="41"/>
      <x:c r="Y111" s="41"/>
      <x:c r="Z111" s="48"/>
      <x:c r="AA111" s="48"/>
      <x:c r="AB111" s="41"/>
      <x:c r="AC111" s="41"/>
      <x:c r="AD111" s="41"/>
      <x:c r="AE111" s="48"/>
      <x:c r="AF111" s="41"/>
      <x:c r="AG111" s="58" t="str">
        <x:f>IF(A111="","",IFERROR(VLOOKUP(A111,'الفيدباك'!$C$7:$G$206,5,FALSE),""))</x:f>
      </x:c>
      <x:c r="AH111" s="42" t="str">
        <x:f>IF(A111="","",IFERROR(VLOOKUP(A111,'الفيدباك'!$C$7:$L$206,10,FALSE),""))</x:f>
      </x:c>
      <x:c r="AI111" s="41"/>
      <x:c r="AJ111" s="42" t="str">
        <x:f>IF(A111="","",IF(A111="مثال-احذفه","صف توضيحي - احذفه قبل البدء",IF(X111="","حدّث حالة الطلب",IF(AND(X111&lt;&gt;"تم التوصيل",X111&lt;&gt;"ملغي",X111&lt;&gt;"مرتجع",Z111&lt;&gt;"",Z111&lt;TODAY()),"متأخر عن موعد التوصيل",IF(AND(X111="تم التوصيل",W111&gt;0),"حصّل المبلغ المتبقي",IF(AND(X111="تم التوصيل",AD111="موافق",OR(AF111="",AF111="لم يُطلب")),"ابعت لينك الفيدباك",IF(AND(AF111="تم إرسال الرابط",AE111&lt;&gt;"",TODAY()-AE111&gt;=3),"تابع الفيدباك","لا يوجد إجراء عاجل")))))))</x:f>
      </x:c>
    </x:row>
    <x:row r="112" ht="31" customHeight="1">
      <x:c r="A112" s="41"/>
      <x:c r="B112" s="46"/>
      <x:c r="C112" s="41"/>
      <x:c r="D112" s="41"/>
      <x:c r="E112" s="50"/>
      <x:c r="F112" s="41"/>
      <x:c r="G112" s="41"/>
      <x:c r="H112" s="41"/>
      <x:c r="I112" s="52"/>
      <x:c r="J112" s="52"/>
      <x:c r="K112" s="53" t="str">
        <x:f>IF(A112="","",I112+J112)</x:f>
      </x:c>
      <x:c r="L112" s="55" t="str">
        <x:f>IF(A112="","",IF(H112="عرض 2 بـ120",'القوائم والإعدادات'!$B$6/2,IF(H112="عينة",0,'القوائم والإعدادات'!$B$5)))</x:f>
      </x:c>
      <x:c r="M112" s="55" t="str">
        <x:f>IF(A112="","",K112*L112)</x:f>
      </x:c>
      <x:c r="N112" s="56"/>
      <x:c r="O112" s="56"/>
      <x:c r="P112" s="56"/>
      <x:c r="Q112" s="55" t="str">
        <x:f>IF(A112="","",MAX(0,M112-N112+O112))</x:f>
      </x:c>
      <x:c r="R112" s="55" t="str">
        <x:f>IF(A112="","",I112*'المخزون'!$L$6+J112*'المخزون'!$L$7)</x:f>
      </x:c>
      <x:c r="S112" s="55" t="str">
        <x:f>IF(A112="","",Q112-R112-P112)</x:f>
      </x:c>
      <x:c r="T112" s="41"/>
      <x:c r="U112" s="41"/>
      <x:c r="V112" s="56"/>
      <x:c r="W112" s="55" t="str">
        <x:f>IF(A112="","",MAX(0,Q112-V112))</x:f>
      </x:c>
      <x:c r="X112" s="41"/>
      <x:c r="Y112" s="41"/>
      <x:c r="Z112" s="48"/>
      <x:c r="AA112" s="48"/>
      <x:c r="AB112" s="41"/>
      <x:c r="AC112" s="41"/>
      <x:c r="AD112" s="41"/>
      <x:c r="AE112" s="48"/>
      <x:c r="AF112" s="41"/>
      <x:c r="AG112" s="58" t="str">
        <x:f>IF(A112="","",IFERROR(VLOOKUP(A112,'الفيدباك'!$C$7:$G$206,5,FALSE),""))</x:f>
      </x:c>
      <x:c r="AH112" s="42" t="str">
        <x:f>IF(A112="","",IFERROR(VLOOKUP(A112,'الفيدباك'!$C$7:$L$206,10,FALSE),""))</x:f>
      </x:c>
      <x:c r="AI112" s="41"/>
      <x:c r="AJ112" s="42" t="str">
        <x:f>IF(A112="","",IF(A112="مثال-احذفه","صف توضيحي - احذفه قبل البدء",IF(X112="","حدّث حالة الطلب",IF(AND(X112&lt;&gt;"تم التوصيل",X112&lt;&gt;"ملغي",X112&lt;&gt;"مرتجع",Z112&lt;&gt;"",Z112&lt;TODAY()),"متأخر عن موعد التوصيل",IF(AND(X112="تم التوصيل",W112&gt;0),"حصّل المبلغ المتبقي",IF(AND(X112="تم التوصيل",AD112="موافق",OR(AF112="",AF112="لم يُطلب")),"ابعت لينك الفيدباك",IF(AND(AF112="تم إرسال الرابط",AE112&lt;&gt;"",TODAY()-AE112&gt;=3),"تابع الفيدباك","لا يوجد إجراء عاجل")))))))</x:f>
      </x:c>
    </x:row>
    <x:row r="113" ht="31" customHeight="1">
      <x:c r="A113" s="41"/>
      <x:c r="B113" s="46"/>
      <x:c r="C113" s="41"/>
      <x:c r="D113" s="41"/>
      <x:c r="E113" s="50"/>
      <x:c r="F113" s="41"/>
      <x:c r="G113" s="41"/>
      <x:c r="H113" s="41"/>
      <x:c r="I113" s="52"/>
      <x:c r="J113" s="52"/>
      <x:c r="K113" s="53" t="str">
        <x:f>IF(A113="","",I113+J113)</x:f>
      </x:c>
      <x:c r="L113" s="55" t="str">
        <x:f>IF(A113="","",IF(H113="عرض 2 بـ120",'القوائم والإعدادات'!$B$6/2,IF(H113="عينة",0,'القوائم والإعدادات'!$B$5)))</x:f>
      </x:c>
      <x:c r="M113" s="55" t="str">
        <x:f>IF(A113="","",K113*L113)</x:f>
      </x:c>
      <x:c r="N113" s="56"/>
      <x:c r="O113" s="56"/>
      <x:c r="P113" s="56"/>
      <x:c r="Q113" s="55" t="str">
        <x:f>IF(A113="","",MAX(0,M113-N113+O113))</x:f>
      </x:c>
      <x:c r="R113" s="55" t="str">
        <x:f>IF(A113="","",I113*'المخزون'!$L$6+J113*'المخزون'!$L$7)</x:f>
      </x:c>
      <x:c r="S113" s="55" t="str">
        <x:f>IF(A113="","",Q113-R113-P113)</x:f>
      </x:c>
      <x:c r="T113" s="41"/>
      <x:c r="U113" s="41"/>
      <x:c r="V113" s="56"/>
      <x:c r="W113" s="55" t="str">
        <x:f>IF(A113="","",MAX(0,Q113-V113))</x:f>
      </x:c>
      <x:c r="X113" s="41"/>
      <x:c r="Y113" s="41"/>
      <x:c r="Z113" s="48"/>
      <x:c r="AA113" s="48"/>
      <x:c r="AB113" s="41"/>
      <x:c r="AC113" s="41"/>
      <x:c r="AD113" s="41"/>
      <x:c r="AE113" s="48"/>
      <x:c r="AF113" s="41"/>
      <x:c r="AG113" s="58" t="str">
        <x:f>IF(A113="","",IFERROR(VLOOKUP(A113,'الفيدباك'!$C$7:$G$206,5,FALSE),""))</x:f>
      </x:c>
      <x:c r="AH113" s="42" t="str">
        <x:f>IF(A113="","",IFERROR(VLOOKUP(A113,'الفيدباك'!$C$7:$L$206,10,FALSE),""))</x:f>
      </x:c>
      <x:c r="AI113" s="41"/>
      <x:c r="AJ113" s="42" t="str">
        <x:f>IF(A113="","",IF(A113="مثال-احذفه","صف توضيحي - احذفه قبل البدء",IF(X113="","حدّث حالة الطلب",IF(AND(X113&lt;&gt;"تم التوصيل",X113&lt;&gt;"ملغي",X113&lt;&gt;"مرتجع",Z113&lt;&gt;"",Z113&lt;TODAY()),"متأخر عن موعد التوصيل",IF(AND(X113="تم التوصيل",W113&gt;0),"حصّل المبلغ المتبقي",IF(AND(X113="تم التوصيل",AD113="موافق",OR(AF113="",AF113="لم يُطلب")),"ابعت لينك الفيدباك",IF(AND(AF113="تم إرسال الرابط",AE113&lt;&gt;"",TODAY()-AE113&gt;=3),"تابع الفيدباك","لا يوجد إجراء عاجل")))))))</x:f>
      </x:c>
    </x:row>
    <x:row r="114" ht="31" customHeight="1">
      <x:c r="A114" s="41"/>
      <x:c r="B114" s="46"/>
      <x:c r="C114" s="41"/>
      <x:c r="D114" s="41"/>
      <x:c r="E114" s="50"/>
      <x:c r="F114" s="41"/>
      <x:c r="G114" s="41"/>
      <x:c r="H114" s="41"/>
      <x:c r="I114" s="52"/>
      <x:c r="J114" s="52"/>
      <x:c r="K114" s="53" t="str">
        <x:f>IF(A114="","",I114+J114)</x:f>
      </x:c>
      <x:c r="L114" s="55" t="str">
        <x:f>IF(A114="","",IF(H114="عرض 2 بـ120",'القوائم والإعدادات'!$B$6/2,IF(H114="عينة",0,'القوائم والإعدادات'!$B$5)))</x:f>
      </x:c>
      <x:c r="M114" s="55" t="str">
        <x:f>IF(A114="","",K114*L114)</x:f>
      </x:c>
      <x:c r="N114" s="56"/>
      <x:c r="O114" s="56"/>
      <x:c r="P114" s="56"/>
      <x:c r="Q114" s="55" t="str">
        <x:f>IF(A114="","",MAX(0,M114-N114+O114))</x:f>
      </x:c>
      <x:c r="R114" s="55" t="str">
        <x:f>IF(A114="","",I114*'المخزون'!$L$6+J114*'المخزون'!$L$7)</x:f>
      </x:c>
      <x:c r="S114" s="55" t="str">
        <x:f>IF(A114="","",Q114-R114-P114)</x:f>
      </x:c>
      <x:c r="T114" s="41"/>
      <x:c r="U114" s="41"/>
      <x:c r="V114" s="56"/>
      <x:c r="W114" s="55" t="str">
        <x:f>IF(A114="","",MAX(0,Q114-V114))</x:f>
      </x:c>
      <x:c r="X114" s="41"/>
      <x:c r="Y114" s="41"/>
      <x:c r="Z114" s="48"/>
      <x:c r="AA114" s="48"/>
      <x:c r="AB114" s="41"/>
      <x:c r="AC114" s="41"/>
      <x:c r="AD114" s="41"/>
      <x:c r="AE114" s="48"/>
      <x:c r="AF114" s="41"/>
      <x:c r="AG114" s="58" t="str">
        <x:f>IF(A114="","",IFERROR(VLOOKUP(A114,'الفيدباك'!$C$7:$G$206,5,FALSE),""))</x:f>
      </x:c>
      <x:c r="AH114" s="42" t="str">
        <x:f>IF(A114="","",IFERROR(VLOOKUP(A114,'الفيدباك'!$C$7:$L$206,10,FALSE),""))</x:f>
      </x:c>
      <x:c r="AI114" s="41"/>
      <x:c r="AJ114" s="42" t="str">
        <x:f>IF(A114="","",IF(A114="مثال-احذفه","صف توضيحي - احذفه قبل البدء",IF(X114="","حدّث حالة الطلب",IF(AND(X114&lt;&gt;"تم التوصيل",X114&lt;&gt;"ملغي",X114&lt;&gt;"مرتجع",Z114&lt;&gt;"",Z114&lt;TODAY()),"متأخر عن موعد التوصيل",IF(AND(X114="تم التوصيل",W114&gt;0),"حصّل المبلغ المتبقي",IF(AND(X114="تم التوصيل",AD114="موافق",OR(AF114="",AF114="لم يُطلب")),"ابعت لينك الفيدباك",IF(AND(AF114="تم إرسال الرابط",AE114&lt;&gt;"",TODAY()-AE114&gt;=3),"تابع الفيدباك","لا يوجد إجراء عاجل")))))))</x:f>
      </x:c>
    </x:row>
    <x:row r="115" ht="31" customHeight="1">
      <x:c r="A115" s="41"/>
      <x:c r="B115" s="46"/>
      <x:c r="C115" s="41"/>
      <x:c r="D115" s="41"/>
      <x:c r="E115" s="50"/>
      <x:c r="F115" s="41"/>
      <x:c r="G115" s="41"/>
      <x:c r="H115" s="41"/>
      <x:c r="I115" s="52"/>
      <x:c r="J115" s="52"/>
      <x:c r="K115" s="53" t="str">
        <x:f>IF(A115="","",I115+J115)</x:f>
      </x:c>
      <x:c r="L115" s="55" t="str">
        <x:f>IF(A115="","",IF(H115="عرض 2 بـ120",'القوائم والإعدادات'!$B$6/2,IF(H115="عينة",0,'القوائم والإعدادات'!$B$5)))</x:f>
      </x:c>
      <x:c r="M115" s="55" t="str">
        <x:f>IF(A115="","",K115*L115)</x:f>
      </x:c>
      <x:c r="N115" s="56"/>
      <x:c r="O115" s="56"/>
      <x:c r="P115" s="56"/>
      <x:c r="Q115" s="55" t="str">
        <x:f>IF(A115="","",MAX(0,M115-N115+O115))</x:f>
      </x:c>
      <x:c r="R115" s="55" t="str">
        <x:f>IF(A115="","",I115*'المخزون'!$L$6+J115*'المخزون'!$L$7)</x:f>
      </x:c>
      <x:c r="S115" s="55" t="str">
        <x:f>IF(A115="","",Q115-R115-P115)</x:f>
      </x:c>
      <x:c r="T115" s="41"/>
      <x:c r="U115" s="41"/>
      <x:c r="V115" s="56"/>
      <x:c r="W115" s="55" t="str">
        <x:f>IF(A115="","",MAX(0,Q115-V115))</x:f>
      </x:c>
      <x:c r="X115" s="41"/>
      <x:c r="Y115" s="41"/>
      <x:c r="Z115" s="48"/>
      <x:c r="AA115" s="48"/>
      <x:c r="AB115" s="41"/>
      <x:c r="AC115" s="41"/>
      <x:c r="AD115" s="41"/>
      <x:c r="AE115" s="48"/>
      <x:c r="AF115" s="41"/>
      <x:c r="AG115" s="58" t="str">
        <x:f>IF(A115="","",IFERROR(VLOOKUP(A115,'الفيدباك'!$C$7:$G$206,5,FALSE),""))</x:f>
      </x:c>
      <x:c r="AH115" s="42" t="str">
        <x:f>IF(A115="","",IFERROR(VLOOKUP(A115,'الفيدباك'!$C$7:$L$206,10,FALSE),""))</x:f>
      </x:c>
      <x:c r="AI115" s="41"/>
      <x:c r="AJ115" s="42" t="str">
        <x:f>IF(A115="","",IF(A115="مثال-احذفه","صف توضيحي - احذفه قبل البدء",IF(X115="","حدّث حالة الطلب",IF(AND(X115&lt;&gt;"تم التوصيل",X115&lt;&gt;"ملغي",X115&lt;&gt;"مرتجع",Z115&lt;&gt;"",Z115&lt;TODAY()),"متأخر عن موعد التوصيل",IF(AND(X115="تم التوصيل",W115&gt;0),"حصّل المبلغ المتبقي",IF(AND(X115="تم التوصيل",AD115="موافق",OR(AF115="",AF115="لم يُطلب")),"ابعت لينك الفيدباك",IF(AND(AF115="تم إرسال الرابط",AE115&lt;&gt;"",TODAY()-AE115&gt;=3),"تابع الفيدباك","لا يوجد إجراء عاجل")))))))</x:f>
      </x:c>
    </x:row>
    <x:row r="116" ht="31" customHeight="1">
      <x:c r="A116" s="41"/>
      <x:c r="B116" s="46"/>
      <x:c r="C116" s="41"/>
      <x:c r="D116" s="41"/>
      <x:c r="E116" s="50"/>
      <x:c r="F116" s="41"/>
      <x:c r="G116" s="41"/>
      <x:c r="H116" s="41"/>
      <x:c r="I116" s="52"/>
      <x:c r="J116" s="52"/>
      <x:c r="K116" s="53" t="str">
        <x:f>IF(A116="","",I116+J116)</x:f>
      </x:c>
      <x:c r="L116" s="55" t="str">
        <x:f>IF(A116="","",IF(H116="عرض 2 بـ120",'القوائم والإعدادات'!$B$6/2,IF(H116="عينة",0,'القوائم والإعدادات'!$B$5)))</x:f>
      </x:c>
      <x:c r="M116" s="55" t="str">
        <x:f>IF(A116="","",K116*L116)</x:f>
      </x:c>
      <x:c r="N116" s="56"/>
      <x:c r="O116" s="56"/>
      <x:c r="P116" s="56"/>
      <x:c r="Q116" s="55" t="str">
        <x:f>IF(A116="","",MAX(0,M116-N116+O116))</x:f>
      </x:c>
      <x:c r="R116" s="55" t="str">
        <x:f>IF(A116="","",I116*'المخزون'!$L$6+J116*'المخزون'!$L$7)</x:f>
      </x:c>
      <x:c r="S116" s="55" t="str">
        <x:f>IF(A116="","",Q116-R116-P116)</x:f>
      </x:c>
      <x:c r="T116" s="41"/>
      <x:c r="U116" s="41"/>
      <x:c r="V116" s="56"/>
      <x:c r="W116" s="55" t="str">
        <x:f>IF(A116="","",MAX(0,Q116-V116))</x:f>
      </x:c>
      <x:c r="X116" s="41"/>
      <x:c r="Y116" s="41"/>
      <x:c r="Z116" s="48"/>
      <x:c r="AA116" s="48"/>
      <x:c r="AB116" s="41"/>
      <x:c r="AC116" s="41"/>
      <x:c r="AD116" s="41"/>
      <x:c r="AE116" s="48"/>
      <x:c r="AF116" s="41"/>
      <x:c r="AG116" s="58" t="str">
        <x:f>IF(A116="","",IFERROR(VLOOKUP(A116,'الفيدباك'!$C$7:$G$206,5,FALSE),""))</x:f>
      </x:c>
      <x:c r="AH116" s="42" t="str">
        <x:f>IF(A116="","",IFERROR(VLOOKUP(A116,'الفيدباك'!$C$7:$L$206,10,FALSE),""))</x:f>
      </x:c>
      <x:c r="AI116" s="41"/>
      <x:c r="AJ116" s="42" t="str">
        <x:f>IF(A116="","",IF(A116="مثال-احذفه","صف توضيحي - احذفه قبل البدء",IF(X116="","حدّث حالة الطلب",IF(AND(X116&lt;&gt;"تم التوصيل",X116&lt;&gt;"ملغي",X116&lt;&gt;"مرتجع",Z116&lt;&gt;"",Z116&lt;TODAY()),"متأخر عن موعد التوصيل",IF(AND(X116="تم التوصيل",W116&gt;0),"حصّل المبلغ المتبقي",IF(AND(X116="تم التوصيل",AD116="موافق",OR(AF116="",AF116="لم يُطلب")),"ابعت لينك الفيدباك",IF(AND(AF116="تم إرسال الرابط",AE116&lt;&gt;"",TODAY()-AE116&gt;=3),"تابع الفيدباك","لا يوجد إجراء عاجل")))))))</x:f>
      </x:c>
    </x:row>
    <x:row r="117" ht="31" customHeight="1">
      <x:c r="A117" s="41"/>
      <x:c r="B117" s="46"/>
      <x:c r="C117" s="41"/>
      <x:c r="D117" s="41"/>
      <x:c r="E117" s="50"/>
      <x:c r="F117" s="41"/>
      <x:c r="G117" s="41"/>
      <x:c r="H117" s="41"/>
      <x:c r="I117" s="52"/>
      <x:c r="J117" s="52"/>
      <x:c r="K117" s="53" t="str">
        <x:f>IF(A117="","",I117+J117)</x:f>
      </x:c>
      <x:c r="L117" s="55" t="str">
        <x:f>IF(A117="","",IF(H117="عرض 2 بـ120",'القوائم والإعدادات'!$B$6/2,IF(H117="عينة",0,'القوائم والإعدادات'!$B$5)))</x:f>
      </x:c>
      <x:c r="M117" s="55" t="str">
        <x:f>IF(A117="","",K117*L117)</x:f>
      </x:c>
      <x:c r="N117" s="56"/>
      <x:c r="O117" s="56"/>
      <x:c r="P117" s="56"/>
      <x:c r="Q117" s="55" t="str">
        <x:f>IF(A117="","",MAX(0,M117-N117+O117))</x:f>
      </x:c>
      <x:c r="R117" s="55" t="str">
        <x:f>IF(A117="","",I117*'المخزون'!$L$6+J117*'المخزون'!$L$7)</x:f>
      </x:c>
      <x:c r="S117" s="55" t="str">
        <x:f>IF(A117="","",Q117-R117-P117)</x:f>
      </x:c>
      <x:c r="T117" s="41"/>
      <x:c r="U117" s="41"/>
      <x:c r="V117" s="56"/>
      <x:c r="W117" s="55" t="str">
        <x:f>IF(A117="","",MAX(0,Q117-V117))</x:f>
      </x:c>
      <x:c r="X117" s="41"/>
      <x:c r="Y117" s="41"/>
      <x:c r="Z117" s="48"/>
      <x:c r="AA117" s="48"/>
      <x:c r="AB117" s="41"/>
      <x:c r="AC117" s="41"/>
      <x:c r="AD117" s="41"/>
      <x:c r="AE117" s="48"/>
      <x:c r="AF117" s="41"/>
      <x:c r="AG117" s="58" t="str">
        <x:f>IF(A117="","",IFERROR(VLOOKUP(A117,'الفيدباك'!$C$7:$G$206,5,FALSE),""))</x:f>
      </x:c>
      <x:c r="AH117" s="42" t="str">
        <x:f>IF(A117="","",IFERROR(VLOOKUP(A117,'الفيدباك'!$C$7:$L$206,10,FALSE),""))</x:f>
      </x:c>
      <x:c r="AI117" s="41"/>
      <x:c r="AJ117" s="42" t="str">
        <x:f>IF(A117="","",IF(A117="مثال-احذفه","صف توضيحي - احذفه قبل البدء",IF(X117="","حدّث حالة الطلب",IF(AND(X117&lt;&gt;"تم التوصيل",X117&lt;&gt;"ملغي",X117&lt;&gt;"مرتجع",Z117&lt;&gt;"",Z117&lt;TODAY()),"متأخر عن موعد التوصيل",IF(AND(X117="تم التوصيل",W117&gt;0),"حصّل المبلغ المتبقي",IF(AND(X117="تم التوصيل",AD117="موافق",OR(AF117="",AF117="لم يُطلب")),"ابعت لينك الفيدباك",IF(AND(AF117="تم إرسال الرابط",AE117&lt;&gt;"",TODAY()-AE117&gt;=3),"تابع الفيدباك","لا يوجد إجراء عاجل")))))))</x:f>
      </x:c>
    </x:row>
    <x:row r="118" ht="31" customHeight="1">
      <x:c r="A118" s="41"/>
      <x:c r="B118" s="46"/>
      <x:c r="C118" s="41"/>
      <x:c r="D118" s="41"/>
      <x:c r="E118" s="50"/>
      <x:c r="F118" s="41"/>
      <x:c r="G118" s="41"/>
      <x:c r="H118" s="41"/>
      <x:c r="I118" s="52"/>
      <x:c r="J118" s="52"/>
      <x:c r="K118" s="53" t="str">
        <x:f>IF(A118="","",I118+J118)</x:f>
      </x:c>
      <x:c r="L118" s="55" t="str">
        <x:f>IF(A118="","",IF(H118="عرض 2 بـ120",'القوائم والإعدادات'!$B$6/2,IF(H118="عينة",0,'القوائم والإعدادات'!$B$5)))</x:f>
      </x:c>
      <x:c r="M118" s="55" t="str">
        <x:f>IF(A118="","",K118*L118)</x:f>
      </x:c>
      <x:c r="N118" s="56"/>
      <x:c r="O118" s="56"/>
      <x:c r="P118" s="56"/>
      <x:c r="Q118" s="55" t="str">
        <x:f>IF(A118="","",MAX(0,M118-N118+O118))</x:f>
      </x:c>
      <x:c r="R118" s="55" t="str">
        <x:f>IF(A118="","",I118*'المخزون'!$L$6+J118*'المخزون'!$L$7)</x:f>
      </x:c>
      <x:c r="S118" s="55" t="str">
        <x:f>IF(A118="","",Q118-R118-P118)</x:f>
      </x:c>
      <x:c r="T118" s="41"/>
      <x:c r="U118" s="41"/>
      <x:c r="V118" s="56"/>
      <x:c r="W118" s="55" t="str">
        <x:f>IF(A118="","",MAX(0,Q118-V118))</x:f>
      </x:c>
      <x:c r="X118" s="41"/>
      <x:c r="Y118" s="41"/>
      <x:c r="Z118" s="48"/>
      <x:c r="AA118" s="48"/>
      <x:c r="AB118" s="41"/>
      <x:c r="AC118" s="41"/>
      <x:c r="AD118" s="41"/>
      <x:c r="AE118" s="48"/>
      <x:c r="AF118" s="41"/>
      <x:c r="AG118" s="58" t="str">
        <x:f>IF(A118="","",IFERROR(VLOOKUP(A118,'الفيدباك'!$C$7:$G$206,5,FALSE),""))</x:f>
      </x:c>
      <x:c r="AH118" s="42" t="str">
        <x:f>IF(A118="","",IFERROR(VLOOKUP(A118,'الفيدباك'!$C$7:$L$206,10,FALSE),""))</x:f>
      </x:c>
      <x:c r="AI118" s="41"/>
      <x:c r="AJ118" s="42" t="str">
        <x:f>IF(A118="","",IF(A118="مثال-احذفه","صف توضيحي - احذفه قبل البدء",IF(X118="","حدّث حالة الطلب",IF(AND(X118&lt;&gt;"تم التوصيل",X118&lt;&gt;"ملغي",X118&lt;&gt;"مرتجع",Z118&lt;&gt;"",Z118&lt;TODAY()),"متأخر عن موعد التوصيل",IF(AND(X118="تم التوصيل",W118&gt;0),"حصّل المبلغ المتبقي",IF(AND(X118="تم التوصيل",AD118="موافق",OR(AF118="",AF118="لم يُطلب")),"ابعت لينك الفيدباك",IF(AND(AF118="تم إرسال الرابط",AE118&lt;&gt;"",TODAY()-AE118&gt;=3),"تابع الفيدباك","لا يوجد إجراء عاجل")))))))</x:f>
      </x:c>
    </x:row>
    <x:row r="119" ht="31" customHeight="1">
      <x:c r="A119" s="41"/>
      <x:c r="B119" s="46"/>
      <x:c r="C119" s="41"/>
      <x:c r="D119" s="41"/>
      <x:c r="E119" s="50"/>
      <x:c r="F119" s="41"/>
      <x:c r="G119" s="41"/>
      <x:c r="H119" s="41"/>
      <x:c r="I119" s="52"/>
      <x:c r="J119" s="52"/>
      <x:c r="K119" s="53" t="str">
        <x:f>IF(A119="","",I119+J119)</x:f>
      </x:c>
      <x:c r="L119" s="55" t="str">
        <x:f>IF(A119="","",IF(H119="عرض 2 بـ120",'القوائم والإعدادات'!$B$6/2,IF(H119="عينة",0,'القوائم والإعدادات'!$B$5)))</x:f>
      </x:c>
      <x:c r="M119" s="55" t="str">
        <x:f>IF(A119="","",K119*L119)</x:f>
      </x:c>
      <x:c r="N119" s="56"/>
      <x:c r="O119" s="56"/>
      <x:c r="P119" s="56"/>
      <x:c r="Q119" s="55" t="str">
        <x:f>IF(A119="","",MAX(0,M119-N119+O119))</x:f>
      </x:c>
      <x:c r="R119" s="55" t="str">
        <x:f>IF(A119="","",I119*'المخزون'!$L$6+J119*'المخزون'!$L$7)</x:f>
      </x:c>
      <x:c r="S119" s="55" t="str">
        <x:f>IF(A119="","",Q119-R119-P119)</x:f>
      </x:c>
      <x:c r="T119" s="41"/>
      <x:c r="U119" s="41"/>
      <x:c r="V119" s="56"/>
      <x:c r="W119" s="55" t="str">
        <x:f>IF(A119="","",MAX(0,Q119-V119))</x:f>
      </x:c>
      <x:c r="X119" s="41"/>
      <x:c r="Y119" s="41"/>
      <x:c r="Z119" s="48"/>
      <x:c r="AA119" s="48"/>
      <x:c r="AB119" s="41"/>
      <x:c r="AC119" s="41"/>
      <x:c r="AD119" s="41"/>
      <x:c r="AE119" s="48"/>
      <x:c r="AF119" s="41"/>
      <x:c r="AG119" s="58" t="str">
        <x:f>IF(A119="","",IFERROR(VLOOKUP(A119,'الفيدباك'!$C$7:$G$206,5,FALSE),""))</x:f>
      </x:c>
      <x:c r="AH119" s="42" t="str">
        <x:f>IF(A119="","",IFERROR(VLOOKUP(A119,'الفيدباك'!$C$7:$L$206,10,FALSE),""))</x:f>
      </x:c>
      <x:c r="AI119" s="41"/>
      <x:c r="AJ119" s="42" t="str">
        <x:f>IF(A119="","",IF(A119="مثال-احذفه","صف توضيحي - احذفه قبل البدء",IF(X119="","حدّث حالة الطلب",IF(AND(X119&lt;&gt;"تم التوصيل",X119&lt;&gt;"ملغي",X119&lt;&gt;"مرتجع",Z119&lt;&gt;"",Z119&lt;TODAY()),"متأخر عن موعد التوصيل",IF(AND(X119="تم التوصيل",W119&gt;0),"حصّل المبلغ المتبقي",IF(AND(X119="تم التوصيل",AD119="موافق",OR(AF119="",AF119="لم يُطلب")),"ابعت لينك الفيدباك",IF(AND(AF119="تم إرسال الرابط",AE119&lt;&gt;"",TODAY()-AE119&gt;=3),"تابع الفيدباك","لا يوجد إجراء عاجل")))))))</x:f>
      </x:c>
    </x:row>
    <x:row r="120" ht="31" customHeight="1">
      <x:c r="A120" s="41"/>
      <x:c r="B120" s="46"/>
      <x:c r="C120" s="41"/>
      <x:c r="D120" s="41"/>
      <x:c r="E120" s="50"/>
      <x:c r="F120" s="41"/>
      <x:c r="G120" s="41"/>
      <x:c r="H120" s="41"/>
      <x:c r="I120" s="52"/>
      <x:c r="J120" s="52"/>
      <x:c r="K120" s="53" t="str">
        <x:f>IF(A120="","",I120+J120)</x:f>
      </x:c>
      <x:c r="L120" s="55" t="str">
        <x:f>IF(A120="","",IF(H120="عرض 2 بـ120",'القوائم والإعدادات'!$B$6/2,IF(H120="عينة",0,'القوائم والإعدادات'!$B$5)))</x:f>
      </x:c>
      <x:c r="M120" s="55" t="str">
        <x:f>IF(A120="","",K120*L120)</x:f>
      </x:c>
      <x:c r="N120" s="56"/>
      <x:c r="O120" s="56"/>
      <x:c r="P120" s="56"/>
      <x:c r="Q120" s="55" t="str">
        <x:f>IF(A120="","",MAX(0,M120-N120+O120))</x:f>
      </x:c>
      <x:c r="R120" s="55" t="str">
        <x:f>IF(A120="","",I120*'المخزون'!$L$6+J120*'المخزون'!$L$7)</x:f>
      </x:c>
      <x:c r="S120" s="55" t="str">
        <x:f>IF(A120="","",Q120-R120-P120)</x:f>
      </x:c>
      <x:c r="T120" s="41"/>
      <x:c r="U120" s="41"/>
      <x:c r="V120" s="56"/>
      <x:c r="W120" s="55" t="str">
        <x:f>IF(A120="","",MAX(0,Q120-V120))</x:f>
      </x:c>
      <x:c r="X120" s="41"/>
      <x:c r="Y120" s="41"/>
      <x:c r="Z120" s="48"/>
      <x:c r="AA120" s="48"/>
      <x:c r="AB120" s="41"/>
      <x:c r="AC120" s="41"/>
      <x:c r="AD120" s="41"/>
      <x:c r="AE120" s="48"/>
      <x:c r="AF120" s="41"/>
      <x:c r="AG120" s="58" t="str">
        <x:f>IF(A120="","",IFERROR(VLOOKUP(A120,'الفيدباك'!$C$7:$G$206,5,FALSE),""))</x:f>
      </x:c>
      <x:c r="AH120" s="42" t="str">
        <x:f>IF(A120="","",IFERROR(VLOOKUP(A120,'الفيدباك'!$C$7:$L$206,10,FALSE),""))</x:f>
      </x:c>
      <x:c r="AI120" s="41"/>
      <x:c r="AJ120" s="42" t="str">
        <x:f>IF(A120="","",IF(A120="مثال-احذفه","صف توضيحي - احذفه قبل البدء",IF(X120="","حدّث حالة الطلب",IF(AND(X120&lt;&gt;"تم التوصيل",X120&lt;&gt;"ملغي",X120&lt;&gt;"مرتجع",Z120&lt;&gt;"",Z120&lt;TODAY()),"متأخر عن موعد التوصيل",IF(AND(X120="تم التوصيل",W120&gt;0),"حصّل المبلغ المتبقي",IF(AND(X120="تم التوصيل",AD120="موافق",OR(AF120="",AF120="لم يُطلب")),"ابعت لينك الفيدباك",IF(AND(AF120="تم إرسال الرابط",AE120&lt;&gt;"",TODAY()-AE120&gt;=3),"تابع الفيدباك","لا يوجد إجراء عاجل")))))))</x:f>
      </x:c>
    </x:row>
    <x:row r="121" ht="31" customHeight="1">
      <x:c r="A121" s="41"/>
      <x:c r="B121" s="46"/>
      <x:c r="C121" s="41"/>
      <x:c r="D121" s="41"/>
      <x:c r="E121" s="50"/>
      <x:c r="F121" s="41"/>
      <x:c r="G121" s="41"/>
      <x:c r="H121" s="41"/>
      <x:c r="I121" s="52"/>
      <x:c r="J121" s="52"/>
      <x:c r="K121" s="53" t="str">
        <x:f>IF(A121="","",I121+J121)</x:f>
      </x:c>
      <x:c r="L121" s="55" t="str">
        <x:f>IF(A121="","",IF(H121="عرض 2 بـ120",'القوائم والإعدادات'!$B$6/2,IF(H121="عينة",0,'القوائم والإعدادات'!$B$5)))</x:f>
      </x:c>
      <x:c r="M121" s="55" t="str">
        <x:f>IF(A121="","",K121*L121)</x:f>
      </x:c>
      <x:c r="N121" s="56"/>
      <x:c r="O121" s="56"/>
      <x:c r="P121" s="56"/>
      <x:c r="Q121" s="55" t="str">
        <x:f>IF(A121="","",MAX(0,M121-N121+O121))</x:f>
      </x:c>
      <x:c r="R121" s="55" t="str">
        <x:f>IF(A121="","",I121*'المخزون'!$L$6+J121*'المخزون'!$L$7)</x:f>
      </x:c>
      <x:c r="S121" s="55" t="str">
        <x:f>IF(A121="","",Q121-R121-P121)</x:f>
      </x:c>
      <x:c r="T121" s="41"/>
      <x:c r="U121" s="41"/>
      <x:c r="V121" s="56"/>
      <x:c r="W121" s="55" t="str">
        <x:f>IF(A121="","",MAX(0,Q121-V121))</x:f>
      </x:c>
      <x:c r="X121" s="41"/>
      <x:c r="Y121" s="41"/>
      <x:c r="Z121" s="48"/>
      <x:c r="AA121" s="48"/>
      <x:c r="AB121" s="41"/>
      <x:c r="AC121" s="41"/>
      <x:c r="AD121" s="41"/>
      <x:c r="AE121" s="48"/>
      <x:c r="AF121" s="41"/>
      <x:c r="AG121" s="58" t="str">
        <x:f>IF(A121="","",IFERROR(VLOOKUP(A121,'الفيدباك'!$C$7:$G$206,5,FALSE),""))</x:f>
      </x:c>
      <x:c r="AH121" s="42" t="str">
        <x:f>IF(A121="","",IFERROR(VLOOKUP(A121,'الفيدباك'!$C$7:$L$206,10,FALSE),""))</x:f>
      </x:c>
      <x:c r="AI121" s="41"/>
      <x:c r="AJ121" s="42" t="str">
        <x:f>IF(A121="","",IF(A121="مثال-احذفه","صف توضيحي - احذفه قبل البدء",IF(X121="","حدّث حالة الطلب",IF(AND(X121&lt;&gt;"تم التوصيل",X121&lt;&gt;"ملغي",X121&lt;&gt;"مرتجع",Z121&lt;&gt;"",Z121&lt;TODAY()),"متأخر عن موعد التوصيل",IF(AND(X121="تم التوصيل",W121&gt;0),"حصّل المبلغ المتبقي",IF(AND(X121="تم التوصيل",AD121="موافق",OR(AF121="",AF121="لم يُطلب")),"ابعت لينك الفيدباك",IF(AND(AF121="تم إرسال الرابط",AE121&lt;&gt;"",TODAY()-AE121&gt;=3),"تابع الفيدباك","لا يوجد إجراء عاجل")))))))</x:f>
      </x:c>
    </x:row>
    <x:row r="122" ht="31" customHeight="1">
      <x:c r="A122" s="41"/>
      <x:c r="B122" s="46"/>
      <x:c r="C122" s="41"/>
      <x:c r="D122" s="41"/>
      <x:c r="E122" s="50"/>
      <x:c r="F122" s="41"/>
      <x:c r="G122" s="41"/>
      <x:c r="H122" s="41"/>
      <x:c r="I122" s="52"/>
      <x:c r="J122" s="52"/>
      <x:c r="K122" s="53" t="str">
        <x:f>IF(A122="","",I122+J122)</x:f>
      </x:c>
      <x:c r="L122" s="55" t="str">
        <x:f>IF(A122="","",IF(H122="عرض 2 بـ120",'القوائم والإعدادات'!$B$6/2,IF(H122="عينة",0,'القوائم والإعدادات'!$B$5)))</x:f>
      </x:c>
      <x:c r="M122" s="55" t="str">
        <x:f>IF(A122="","",K122*L122)</x:f>
      </x:c>
      <x:c r="N122" s="56"/>
      <x:c r="O122" s="56"/>
      <x:c r="P122" s="56"/>
      <x:c r="Q122" s="55" t="str">
        <x:f>IF(A122="","",MAX(0,M122-N122+O122))</x:f>
      </x:c>
      <x:c r="R122" s="55" t="str">
        <x:f>IF(A122="","",I122*'المخزون'!$L$6+J122*'المخزون'!$L$7)</x:f>
      </x:c>
      <x:c r="S122" s="55" t="str">
        <x:f>IF(A122="","",Q122-R122-P122)</x:f>
      </x:c>
      <x:c r="T122" s="41"/>
      <x:c r="U122" s="41"/>
      <x:c r="V122" s="56"/>
      <x:c r="W122" s="55" t="str">
        <x:f>IF(A122="","",MAX(0,Q122-V122))</x:f>
      </x:c>
      <x:c r="X122" s="41"/>
      <x:c r="Y122" s="41"/>
      <x:c r="Z122" s="48"/>
      <x:c r="AA122" s="48"/>
      <x:c r="AB122" s="41"/>
      <x:c r="AC122" s="41"/>
      <x:c r="AD122" s="41"/>
      <x:c r="AE122" s="48"/>
      <x:c r="AF122" s="41"/>
      <x:c r="AG122" s="58" t="str">
        <x:f>IF(A122="","",IFERROR(VLOOKUP(A122,'الفيدباك'!$C$7:$G$206,5,FALSE),""))</x:f>
      </x:c>
      <x:c r="AH122" s="42" t="str">
        <x:f>IF(A122="","",IFERROR(VLOOKUP(A122,'الفيدباك'!$C$7:$L$206,10,FALSE),""))</x:f>
      </x:c>
      <x:c r="AI122" s="41"/>
      <x:c r="AJ122" s="42" t="str">
        <x:f>IF(A122="","",IF(A122="مثال-احذفه","صف توضيحي - احذفه قبل البدء",IF(X122="","حدّث حالة الطلب",IF(AND(X122&lt;&gt;"تم التوصيل",X122&lt;&gt;"ملغي",X122&lt;&gt;"مرتجع",Z122&lt;&gt;"",Z122&lt;TODAY()),"متأخر عن موعد التوصيل",IF(AND(X122="تم التوصيل",W122&gt;0),"حصّل المبلغ المتبقي",IF(AND(X122="تم التوصيل",AD122="موافق",OR(AF122="",AF122="لم يُطلب")),"ابعت لينك الفيدباك",IF(AND(AF122="تم إرسال الرابط",AE122&lt;&gt;"",TODAY()-AE122&gt;=3),"تابع الفيدباك","لا يوجد إجراء عاجل")))))))</x:f>
      </x:c>
    </x:row>
    <x:row r="123" ht="31" customHeight="1">
      <x:c r="A123" s="41"/>
      <x:c r="B123" s="46"/>
      <x:c r="C123" s="41"/>
      <x:c r="D123" s="41"/>
      <x:c r="E123" s="50"/>
      <x:c r="F123" s="41"/>
      <x:c r="G123" s="41"/>
      <x:c r="H123" s="41"/>
      <x:c r="I123" s="52"/>
      <x:c r="J123" s="52"/>
      <x:c r="K123" s="53" t="str">
        <x:f>IF(A123="","",I123+J123)</x:f>
      </x:c>
      <x:c r="L123" s="55" t="str">
        <x:f>IF(A123="","",IF(H123="عرض 2 بـ120",'القوائم والإعدادات'!$B$6/2,IF(H123="عينة",0,'القوائم والإعدادات'!$B$5)))</x:f>
      </x:c>
      <x:c r="M123" s="55" t="str">
        <x:f>IF(A123="","",K123*L123)</x:f>
      </x:c>
      <x:c r="N123" s="56"/>
      <x:c r="O123" s="56"/>
      <x:c r="P123" s="56"/>
      <x:c r="Q123" s="55" t="str">
        <x:f>IF(A123="","",MAX(0,M123-N123+O123))</x:f>
      </x:c>
      <x:c r="R123" s="55" t="str">
        <x:f>IF(A123="","",I123*'المخزون'!$L$6+J123*'المخزون'!$L$7)</x:f>
      </x:c>
      <x:c r="S123" s="55" t="str">
        <x:f>IF(A123="","",Q123-R123-P123)</x:f>
      </x:c>
      <x:c r="T123" s="41"/>
      <x:c r="U123" s="41"/>
      <x:c r="V123" s="56"/>
      <x:c r="W123" s="55" t="str">
        <x:f>IF(A123="","",MAX(0,Q123-V123))</x:f>
      </x:c>
      <x:c r="X123" s="41"/>
      <x:c r="Y123" s="41"/>
      <x:c r="Z123" s="48"/>
      <x:c r="AA123" s="48"/>
      <x:c r="AB123" s="41"/>
      <x:c r="AC123" s="41"/>
      <x:c r="AD123" s="41"/>
      <x:c r="AE123" s="48"/>
      <x:c r="AF123" s="41"/>
      <x:c r="AG123" s="58" t="str">
        <x:f>IF(A123="","",IFERROR(VLOOKUP(A123,'الفيدباك'!$C$7:$G$206,5,FALSE),""))</x:f>
      </x:c>
      <x:c r="AH123" s="42" t="str">
        <x:f>IF(A123="","",IFERROR(VLOOKUP(A123,'الفيدباك'!$C$7:$L$206,10,FALSE),""))</x:f>
      </x:c>
      <x:c r="AI123" s="41"/>
      <x:c r="AJ123" s="42" t="str">
        <x:f>IF(A123="","",IF(A123="مثال-احذفه","صف توضيحي - احذفه قبل البدء",IF(X123="","حدّث حالة الطلب",IF(AND(X123&lt;&gt;"تم التوصيل",X123&lt;&gt;"ملغي",X123&lt;&gt;"مرتجع",Z123&lt;&gt;"",Z123&lt;TODAY()),"متأخر عن موعد التوصيل",IF(AND(X123="تم التوصيل",W123&gt;0),"حصّل المبلغ المتبقي",IF(AND(X123="تم التوصيل",AD123="موافق",OR(AF123="",AF123="لم يُطلب")),"ابعت لينك الفيدباك",IF(AND(AF123="تم إرسال الرابط",AE123&lt;&gt;"",TODAY()-AE123&gt;=3),"تابع الفيدباك","لا يوجد إجراء عاجل")))))))</x:f>
      </x:c>
    </x:row>
    <x:row r="124" ht="31" customHeight="1">
      <x:c r="A124" s="41"/>
      <x:c r="B124" s="46"/>
      <x:c r="C124" s="41"/>
      <x:c r="D124" s="41"/>
      <x:c r="E124" s="50"/>
      <x:c r="F124" s="41"/>
      <x:c r="G124" s="41"/>
      <x:c r="H124" s="41"/>
      <x:c r="I124" s="52"/>
      <x:c r="J124" s="52"/>
      <x:c r="K124" s="53" t="str">
        <x:f>IF(A124="","",I124+J124)</x:f>
      </x:c>
      <x:c r="L124" s="55" t="str">
        <x:f>IF(A124="","",IF(H124="عرض 2 بـ120",'القوائم والإعدادات'!$B$6/2,IF(H124="عينة",0,'القوائم والإعدادات'!$B$5)))</x:f>
      </x:c>
      <x:c r="M124" s="55" t="str">
        <x:f>IF(A124="","",K124*L124)</x:f>
      </x:c>
      <x:c r="N124" s="56"/>
      <x:c r="O124" s="56"/>
      <x:c r="P124" s="56"/>
      <x:c r="Q124" s="55" t="str">
        <x:f>IF(A124="","",MAX(0,M124-N124+O124))</x:f>
      </x:c>
      <x:c r="R124" s="55" t="str">
        <x:f>IF(A124="","",I124*'المخزون'!$L$6+J124*'المخزون'!$L$7)</x:f>
      </x:c>
      <x:c r="S124" s="55" t="str">
        <x:f>IF(A124="","",Q124-R124-P124)</x:f>
      </x:c>
      <x:c r="T124" s="41"/>
      <x:c r="U124" s="41"/>
      <x:c r="V124" s="56"/>
      <x:c r="W124" s="55" t="str">
        <x:f>IF(A124="","",MAX(0,Q124-V124))</x:f>
      </x:c>
      <x:c r="X124" s="41"/>
      <x:c r="Y124" s="41"/>
      <x:c r="Z124" s="48"/>
      <x:c r="AA124" s="48"/>
      <x:c r="AB124" s="41"/>
      <x:c r="AC124" s="41"/>
      <x:c r="AD124" s="41"/>
      <x:c r="AE124" s="48"/>
      <x:c r="AF124" s="41"/>
      <x:c r="AG124" s="58" t="str">
        <x:f>IF(A124="","",IFERROR(VLOOKUP(A124,'الفيدباك'!$C$7:$G$206,5,FALSE),""))</x:f>
      </x:c>
      <x:c r="AH124" s="42" t="str">
        <x:f>IF(A124="","",IFERROR(VLOOKUP(A124,'الفيدباك'!$C$7:$L$206,10,FALSE),""))</x:f>
      </x:c>
      <x:c r="AI124" s="41"/>
      <x:c r="AJ124" s="42" t="str">
        <x:f>IF(A124="","",IF(A124="مثال-احذفه","صف توضيحي - احذفه قبل البدء",IF(X124="","حدّث حالة الطلب",IF(AND(X124&lt;&gt;"تم التوصيل",X124&lt;&gt;"ملغي",X124&lt;&gt;"مرتجع",Z124&lt;&gt;"",Z124&lt;TODAY()),"متأخر عن موعد التوصيل",IF(AND(X124="تم التوصيل",W124&gt;0),"حصّل المبلغ المتبقي",IF(AND(X124="تم التوصيل",AD124="موافق",OR(AF124="",AF124="لم يُطلب")),"ابعت لينك الفيدباك",IF(AND(AF124="تم إرسال الرابط",AE124&lt;&gt;"",TODAY()-AE124&gt;=3),"تابع الفيدباك","لا يوجد إجراء عاجل")))))))</x:f>
      </x:c>
    </x:row>
    <x:row r="125" ht="31" customHeight="1">
      <x:c r="A125" s="41"/>
      <x:c r="B125" s="46"/>
      <x:c r="C125" s="41"/>
      <x:c r="D125" s="41"/>
      <x:c r="E125" s="50"/>
      <x:c r="F125" s="41"/>
      <x:c r="G125" s="41"/>
      <x:c r="H125" s="41"/>
      <x:c r="I125" s="52"/>
      <x:c r="J125" s="52"/>
      <x:c r="K125" s="53" t="str">
        <x:f>IF(A125="","",I125+J125)</x:f>
      </x:c>
      <x:c r="L125" s="55" t="str">
        <x:f>IF(A125="","",IF(H125="عرض 2 بـ120",'القوائم والإعدادات'!$B$6/2,IF(H125="عينة",0,'القوائم والإعدادات'!$B$5)))</x:f>
      </x:c>
      <x:c r="M125" s="55" t="str">
        <x:f>IF(A125="","",K125*L125)</x:f>
      </x:c>
      <x:c r="N125" s="56"/>
      <x:c r="O125" s="56"/>
      <x:c r="P125" s="56"/>
      <x:c r="Q125" s="55" t="str">
        <x:f>IF(A125="","",MAX(0,M125-N125+O125))</x:f>
      </x:c>
      <x:c r="R125" s="55" t="str">
        <x:f>IF(A125="","",I125*'المخزون'!$L$6+J125*'المخزون'!$L$7)</x:f>
      </x:c>
      <x:c r="S125" s="55" t="str">
        <x:f>IF(A125="","",Q125-R125-P125)</x:f>
      </x:c>
      <x:c r="T125" s="41"/>
      <x:c r="U125" s="41"/>
      <x:c r="V125" s="56"/>
      <x:c r="W125" s="55" t="str">
        <x:f>IF(A125="","",MAX(0,Q125-V125))</x:f>
      </x:c>
      <x:c r="X125" s="41"/>
      <x:c r="Y125" s="41"/>
      <x:c r="Z125" s="48"/>
      <x:c r="AA125" s="48"/>
      <x:c r="AB125" s="41"/>
      <x:c r="AC125" s="41"/>
      <x:c r="AD125" s="41"/>
      <x:c r="AE125" s="48"/>
      <x:c r="AF125" s="41"/>
      <x:c r="AG125" s="58" t="str">
        <x:f>IF(A125="","",IFERROR(VLOOKUP(A125,'الفيدباك'!$C$7:$G$206,5,FALSE),""))</x:f>
      </x:c>
      <x:c r="AH125" s="42" t="str">
        <x:f>IF(A125="","",IFERROR(VLOOKUP(A125,'الفيدباك'!$C$7:$L$206,10,FALSE),""))</x:f>
      </x:c>
      <x:c r="AI125" s="41"/>
      <x:c r="AJ125" s="42" t="str">
        <x:f>IF(A125="","",IF(A125="مثال-احذفه","صف توضيحي - احذفه قبل البدء",IF(X125="","حدّث حالة الطلب",IF(AND(X125&lt;&gt;"تم التوصيل",X125&lt;&gt;"ملغي",X125&lt;&gt;"مرتجع",Z125&lt;&gt;"",Z125&lt;TODAY()),"متأخر عن موعد التوصيل",IF(AND(X125="تم التوصيل",W125&gt;0),"حصّل المبلغ المتبقي",IF(AND(X125="تم التوصيل",AD125="موافق",OR(AF125="",AF125="لم يُطلب")),"ابعت لينك الفيدباك",IF(AND(AF125="تم إرسال الرابط",AE125&lt;&gt;"",TODAY()-AE125&gt;=3),"تابع الفيدباك","لا يوجد إجراء عاجل")))))))</x:f>
      </x:c>
    </x:row>
    <x:row r="126" ht="31" customHeight="1">
      <x:c r="A126" s="41"/>
      <x:c r="B126" s="46"/>
      <x:c r="C126" s="41"/>
      <x:c r="D126" s="41"/>
      <x:c r="E126" s="50"/>
      <x:c r="F126" s="41"/>
      <x:c r="G126" s="41"/>
      <x:c r="H126" s="41"/>
      <x:c r="I126" s="52"/>
      <x:c r="J126" s="52"/>
      <x:c r="K126" s="53" t="str">
        <x:f>IF(A126="","",I126+J126)</x:f>
      </x:c>
      <x:c r="L126" s="55" t="str">
        <x:f>IF(A126="","",IF(H126="عرض 2 بـ120",'القوائم والإعدادات'!$B$6/2,IF(H126="عينة",0,'القوائم والإعدادات'!$B$5)))</x:f>
      </x:c>
      <x:c r="M126" s="55" t="str">
        <x:f>IF(A126="","",K126*L126)</x:f>
      </x:c>
      <x:c r="N126" s="56"/>
      <x:c r="O126" s="56"/>
      <x:c r="P126" s="56"/>
      <x:c r="Q126" s="55" t="str">
        <x:f>IF(A126="","",MAX(0,M126-N126+O126))</x:f>
      </x:c>
      <x:c r="R126" s="55" t="str">
        <x:f>IF(A126="","",I126*'المخزون'!$L$6+J126*'المخزون'!$L$7)</x:f>
      </x:c>
      <x:c r="S126" s="55" t="str">
        <x:f>IF(A126="","",Q126-R126-P126)</x:f>
      </x:c>
      <x:c r="T126" s="41"/>
      <x:c r="U126" s="41"/>
      <x:c r="V126" s="56"/>
      <x:c r="W126" s="55" t="str">
        <x:f>IF(A126="","",MAX(0,Q126-V126))</x:f>
      </x:c>
      <x:c r="X126" s="41"/>
      <x:c r="Y126" s="41"/>
      <x:c r="Z126" s="48"/>
      <x:c r="AA126" s="48"/>
      <x:c r="AB126" s="41"/>
      <x:c r="AC126" s="41"/>
      <x:c r="AD126" s="41"/>
      <x:c r="AE126" s="48"/>
      <x:c r="AF126" s="41"/>
      <x:c r="AG126" s="58" t="str">
        <x:f>IF(A126="","",IFERROR(VLOOKUP(A126,'الفيدباك'!$C$7:$G$206,5,FALSE),""))</x:f>
      </x:c>
      <x:c r="AH126" s="42" t="str">
        <x:f>IF(A126="","",IFERROR(VLOOKUP(A126,'الفيدباك'!$C$7:$L$206,10,FALSE),""))</x:f>
      </x:c>
      <x:c r="AI126" s="41"/>
      <x:c r="AJ126" s="42" t="str">
        <x:f>IF(A126="","",IF(A126="مثال-احذفه","صف توضيحي - احذفه قبل البدء",IF(X126="","حدّث حالة الطلب",IF(AND(X126&lt;&gt;"تم التوصيل",X126&lt;&gt;"ملغي",X126&lt;&gt;"مرتجع",Z126&lt;&gt;"",Z126&lt;TODAY()),"متأخر عن موعد التوصيل",IF(AND(X126="تم التوصيل",W126&gt;0),"حصّل المبلغ المتبقي",IF(AND(X126="تم التوصيل",AD126="موافق",OR(AF126="",AF126="لم يُطلب")),"ابعت لينك الفيدباك",IF(AND(AF126="تم إرسال الرابط",AE126&lt;&gt;"",TODAY()-AE126&gt;=3),"تابع الفيدباك","لا يوجد إجراء عاجل")))))))</x:f>
      </x:c>
    </x:row>
    <x:row r="127" ht="31" customHeight="1">
      <x:c r="A127" s="41"/>
      <x:c r="B127" s="46"/>
      <x:c r="C127" s="41"/>
      <x:c r="D127" s="41"/>
      <x:c r="E127" s="50"/>
      <x:c r="F127" s="41"/>
      <x:c r="G127" s="41"/>
      <x:c r="H127" s="41"/>
      <x:c r="I127" s="52"/>
      <x:c r="J127" s="52"/>
      <x:c r="K127" s="53" t="str">
        <x:f>IF(A127="","",I127+J127)</x:f>
      </x:c>
      <x:c r="L127" s="55" t="str">
        <x:f>IF(A127="","",IF(H127="عرض 2 بـ120",'القوائم والإعدادات'!$B$6/2,IF(H127="عينة",0,'القوائم والإعدادات'!$B$5)))</x:f>
      </x:c>
      <x:c r="M127" s="55" t="str">
        <x:f>IF(A127="","",K127*L127)</x:f>
      </x:c>
      <x:c r="N127" s="56"/>
      <x:c r="O127" s="56"/>
      <x:c r="P127" s="56"/>
      <x:c r="Q127" s="55" t="str">
        <x:f>IF(A127="","",MAX(0,M127-N127+O127))</x:f>
      </x:c>
      <x:c r="R127" s="55" t="str">
        <x:f>IF(A127="","",I127*'المخزون'!$L$6+J127*'المخزون'!$L$7)</x:f>
      </x:c>
      <x:c r="S127" s="55" t="str">
        <x:f>IF(A127="","",Q127-R127-P127)</x:f>
      </x:c>
      <x:c r="T127" s="41"/>
      <x:c r="U127" s="41"/>
      <x:c r="V127" s="56"/>
      <x:c r="W127" s="55" t="str">
        <x:f>IF(A127="","",MAX(0,Q127-V127))</x:f>
      </x:c>
      <x:c r="X127" s="41"/>
      <x:c r="Y127" s="41"/>
      <x:c r="Z127" s="48"/>
      <x:c r="AA127" s="48"/>
      <x:c r="AB127" s="41"/>
      <x:c r="AC127" s="41"/>
      <x:c r="AD127" s="41"/>
      <x:c r="AE127" s="48"/>
      <x:c r="AF127" s="41"/>
      <x:c r="AG127" s="58" t="str">
        <x:f>IF(A127="","",IFERROR(VLOOKUP(A127,'الفيدباك'!$C$7:$G$206,5,FALSE),""))</x:f>
      </x:c>
      <x:c r="AH127" s="42" t="str">
        <x:f>IF(A127="","",IFERROR(VLOOKUP(A127,'الفيدباك'!$C$7:$L$206,10,FALSE),""))</x:f>
      </x:c>
      <x:c r="AI127" s="41"/>
      <x:c r="AJ127" s="42" t="str">
        <x:f>IF(A127="","",IF(A127="مثال-احذفه","صف توضيحي - احذفه قبل البدء",IF(X127="","حدّث حالة الطلب",IF(AND(X127&lt;&gt;"تم التوصيل",X127&lt;&gt;"ملغي",X127&lt;&gt;"مرتجع",Z127&lt;&gt;"",Z127&lt;TODAY()),"متأخر عن موعد التوصيل",IF(AND(X127="تم التوصيل",W127&gt;0),"حصّل المبلغ المتبقي",IF(AND(X127="تم التوصيل",AD127="موافق",OR(AF127="",AF127="لم يُطلب")),"ابعت لينك الفيدباك",IF(AND(AF127="تم إرسال الرابط",AE127&lt;&gt;"",TODAY()-AE127&gt;=3),"تابع الفيدباك","لا يوجد إجراء عاجل")))))))</x:f>
      </x:c>
    </x:row>
    <x:row r="128" ht="31" customHeight="1">
      <x:c r="A128" s="41"/>
      <x:c r="B128" s="46"/>
      <x:c r="C128" s="41"/>
      <x:c r="D128" s="41"/>
      <x:c r="E128" s="50"/>
      <x:c r="F128" s="41"/>
      <x:c r="G128" s="41"/>
      <x:c r="H128" s="41"/>
      <x:c r="I128" s="52"/>
      <x:c r="J128" s="52"/>
      <x:c r="K128" s="53" t="str">
        <x:f>IF(A128="","",I128+J128)</x:f>
      </x:c>
      <x:c r="L128" s="55" t="str">
        <x:f>IF(A128="","",IF(H128="عرض 2 بـ120",'القوائم والإعدادات'!$B$6/2,IF(H128="عينة",0,'القوائم والإعدادات'!$B$5)))</x:f>
      </x:c>
      <x:c r="M128" s="55" t="str">
        <x:f>IF(A128="","",K128*L128)</x:f>
      </x:c>
      <x:c r="N128" s="56"/>
      <x:c r="O128" s="56"/>
      <x:c r="P128" s="56"/>
      <x:c r="Q128" s="55" t="str">
        <x:f>IF(A128="","",MAX(0,M128-N128+O128))</x:f>
      </x:c>
      <x:c r="R128" s="55" t="str">
        <x:f>IF(A128="","",I128*'المخزون'!$L$6+J128*'المخزون'!$L$7)</x:f>
      </x:c>
      <x:c r="S128" s="55" t="str">
        <x:f>IF(A128="","",Q128-R128-P128)</x:f>
      </x:c>
      <x:c r="T128" s="41"/>
      <x:c r="U128" s="41"/>
      <x:c r="V128" s="56"/>
      <x:c r="W128" s="55" t="str">
        <x:f>IF(A128="","",MAX(0,Q128-V128))</x:f>
      </x:c>
      <x:c r="X128" s="41"/>
      <x:c r="Y128" s="41"/>
      <x:c r="Z128" s="48"/>
      <x:c r="AA128" s="48"/>
      <x:c r="AB128" s="41"/>
      <x:c r="AC128" s="41"/>
      <x:c r="AD128" s="41"/>
      <x:c r="AE128" s="48"/>
      <x:c r="AF128" s="41"/>
      <x:c r="AG128" s="58" t="str">
        <x:f>IF(A128="","",IFERROR(VLOOKUP(A128,'الفيدباك'!$C$7:$G$206,5,FALSE),""))</x:f>
      </x:c>
      <x:c r="AH128" s="42" t="str">
        <x:f>IF(A128="","",IFERROR(VLOOKUP(A128,'الفيدباك'!$C$7:$L$206,10,FALSE),""))</x:f>
      </x:c>
      <x:c r="AI128" s="41"/>
      <x:c r="AJ128" s="42" t="str">
        <x:f>IF(A128="","",IF(A128="مثال-احذفه","صف توضيحي - احذفه قبل البدء",IF(X128="","حدّث حالة الطلب",IF(AND(X128&lt;&gt;"تم التوصيل",X128&lt;&gt;"ملغي",X128&lt;&gt;"مرتجع",Z128&lt;&gt;"",Z128&lt;TODAY()),"متأخر عن موعد التوصيل",IF(AND(X128="تم التوصيل",W128&gt;0),"حصّل المبلغ المتبقي",IF(AND(X128="تم التوصيل",AD128="موافق",OR(AF128="",AF128="لم يُطلب")),"ابعت لينك الفيدباك",IF(AND(AF128="تم إرسال الرابط",AE128&lt;&gt;"",TODAY()-AE128&gt;=3),"تابع الفيدباك","لا يوجد إجراء عاجل")))))))</x:f>
      </x:c>
    </x:row>
    <x:row r="129" ht="31" customHeight="1">
      <x:c r="A129" s="41"/>
      <x:c r="B129" s="46"/>
      <x:c r="C129" s="41"/>
      <x:c r="D129" s="41"/>
      <x:c r="E129" s="50"/>
      <x:c r="F129" s="41"/>
      <x:c r="G129" s="41"/>
      <x:c r="H129" s="41"/>
      <x:c r="I129" s="52"/>
      <x:c r="J129" s="52"/>
      <x:c r="K129" s="53" t="str">
        <x:f>IF(A129="","",I129+J129)</x:f>
      </x:c>
      <x:c r="L129" s="55" t="str">
        <x:f>IF(A129="","",IF(H129="عرض 2 بـ120",'القوائم والإعدادات'!$B$6/2,IF(H129="عينة",0,'القوائم والإعدادات'!$B$5)))</x:f>
      </x:c>
      <x:c r="M129" s="55" t="str">
        <x:f>IF(A129="","",K129*L129)</x:f>
      </x:c>
      <x:c r="N129" s="56"/>
      <x:c r="O129" s="56"/>
      <x:c r="P129" s="56"/>
      <x:c r="Q129" s="55" t="str">
        <x:f>IF(A129="","",MAX(0,M129-N129+O129))</x:f>
      </x:c>
      <x:c r="R129" s="55" t="str">
        <x:f>IF(A129="","",I129*'المخزون'!$L$6+J129*'المخزون'!$L$7)</x:f>
      </x:c>
      <x:c r="S129" s="55" t="str">
        <x:f>IF(A129="","",Q129-R129-P129)</x:f>
      </x:c>
      <x:c r="T129" s="41"/>
      <x:c r="U129" s="41"/>
      <x:c r="V129" s="56"/>
      <x:c r="W129" s="55" t="str">
        <x:f>IF(A129="","",MAX(0,Q129-V129))</x:f>
      </x:c>
      <x:c r="X129" s="41"/>
      <x:c r="Y129" s="41"/>
      <x:c r="Z129" s="48"/>
      <x:c r="AA129" s="48"/>
      <x:c r="AB129" s="41"/>
      <x:c r="AC129" s="41"/>
      <x:c r="AD129" s="41"/>
      <x:c r="AE129" s="48"/>
      <x:c r="AF129" s="41"/>
      <x:c r="AG129" s="58" t="str">
        <x:f>IF(A129="","",IFERROR(VLOOKUP(A129,'الفيدباك'!$C$7:$G$206,5,FALSE),""))</x:f>
      </x:c>
      <x:c r="AH129" s="42" t="str">
        <x:f>IF(A129="","",IFERROR(VLOOKUP(A129,'الفيدباك'!$C$7:$L$206,10,FALSE),""))</x:f>
      </x:c>
      <x:c r="AI129" s="41"/>
      <x:c r="AJ129" s="42" t="str">
        <x:f>IF(A129="","",IF(A129="مثال-احذفه","صف توضيحي - احذفه قبل البدء",IF(X129="","حدّث حالة الطلب",IF(AND(X129&lt;&gt;"تم التوصيل",X129&lt;&gt;"ملغي",X129&lt;&gt;"مرتجع",Z129&lt;&gt;"",Z129&lt;TODAY()),"متأخر عن موعد التوصيل",IF(AND(X129="تم التوصيل",W129&gt;0),"حصّل المبلغ المتبقي",IF(AND(X129="تم التوصيل",AD129="موافق",OR(AF129="",AF129="لم يُطلب")),"ابعت لينك الفيدباك",IF(AND(AF129="تم إرسال الرابط",AE129&lt;&gt;"",TODAY()-AE129&gt;=3),"تابع الفيدباك","لا يوجد إجراء عاجل")))))))</x:f>
      </x:c>
    </x:row>
    <x:row r="130" ht="31" customHeight="1">
      <x:c r="A130" s="41"/>
      <x:c r="B130" s="46"/>
      <x:c r="C130" s="41"/>
      <x:c r="D130" s="41"/>
      <x:c r="E130" s="50"/>
      <x:c r="F130" s="41"/>
      <x:c r="G130" s="41"/>
      <x:c r="H130" s="41"/>
      <x:c r="I130" s="52"/>
      <x:c r="J130" s="52"/>
      <x:c r="K130" s="53" t="str">
        <x:f>IF(A130="","",I130+J130)</x:f>
      </x:c>
      <x:c r="L130" s="55" t="str">
        <x:f>IF(A130="","",IF(H130="عرض 2 بـ120",'القوائم والإعدادات'!$B$6/2,IF(H130="عينة",0,'القوائم والإعدادات'!$B$5)))</x:f>
      </x:c>
      <x:c r="M130" s="55" t="str">
        <x:f>IF(A130="","",K130*L130)</x:f>
      </x:c>
      <x:c r="N130" s="56"/>
      <x:c r="O130" s="56"/>
      <x:c r="P130" s="56"/>
      <x:c r="Q130" s="55" t="str">
        <x:f>IF(A130="","",MAX(0,M130-N130+O130))</x:f>
      </x:c>
      <x:c r="R130" s="55" t="str">
        <x:f>IF(A130="","",I130*'المخزون'!$L$6+J130*'المخزون'!$L$7)</x:f>
      </x:c>
      <x:c r="S130" s="55" t="str">
        <x:f>IF(A130="","",Q130-R130-P130)</x:f>
      </x:c>
      <x:c r="T130" s="41"/>
      <x:c r="U130" s="41"/>
      <x:c r="V130" s="56"/>
      <x:c r="W130" s="55" t="str">
        <x:f>IF(A130="","",MAX(0,Q130-V130))</x:f>
      </x:c>
      <x:c r="X130" s="41"/>
      <x:c r="Y130" s="41"/>
      <x:c r="Z130" s="48"/>
      <x:c r="AA130" s="48"/>
      <x:c r="AB130" s="41"/>
      <x:c r="AC130" s="41"/>
      <x:c r="AD130" s="41"/>
      <x:c r="AE130" s="48"/>
      <x:c r="AF130" s="41"/>
      <x:c r="AG130" s="58" t="str">
        <x:f>IF(A130="","",IFERROR(VLOOKUP(A130,'الفيدباك'!$C$7:$G$206,5,FALSE),""))</x:f>
      </x:c>
      <x:c r="AH130" s="42" t="str">
        <x:f>IF(A130="","",IFERROR(VLOOKUP(A130,'الفيدباك'!$C$7:$L$206,10,FALSE),""))</x:f>
      </x:c>
      <x:c r="AI130" s="41"/>
      <x:c r="AJ130" s="42" t="str">
        <x:f>IF(A130="","",IF(A130="مثال-احذفه","صف توضيحي - احذفه قبل البدء",IF(X130="","حدّث حالة الطلب",IF(AND(X130&lt;&gt;"تم التوصيل",X130&lt;&gt;"ملغي",X130&lt;&gt;"مرتجع",Z130&lt;&gt;"",Z130&lt;TODAY()),"متأخر عن موعد التوصيل",IF(AND(X130="تم التوصيل",W130&gt;0),"حصّل المبلغ المتبقي",IF(AND(X130="تم التوصيل",AD130="موافق",OR(AF130="",AF130="لم يُطلب")),"ابعت لينك الفيدباك",IF(AND(AF130="تم إرسال الرابط",AE130&lt;&gt;"",TODAY()-AE130&gt;=3),"تابع الفيدباك","لا يوجد إجراء عاجل")))))))</x:f>
      </x:c>
    </x:row>
    <x:row r="131" ht="31" customHeight="1">
      <x:c r="A131" s="41"/>
      <x:c r="B131" s="46"/>
      <x:c r="C131" s="41"/>
      <x:c r="D131" s="41"/>
      <x:c r="E131" s="50"/>
      <x:c r="F131" s="41"/>
      <x:c r="G131" s="41"/>
      <x:c r="H131" s="41"/>
      <x:c r="I131" s="52"/>
      <x:c r="J131" s="52"/>
      <x:c r="K131" s="53" t="str">
        <x:f>IF(A131="","",I131+J131)</x:f>
      </x:c>
      <x:c r="L131" s="55" t="str">
        <x:f>IF(A131="","",IF(H131="عرض 2 بـ120",'القوائم والإعدادات'!$B$6/2,IF(H131="عينة",0,'القوائم والإعدادات'!$B$5)))</x:f>
      </x:c>
      <x:c r="M131" s="55" t="str">
        <x:f>IF(A131="","",K131*L131)</x:f>
      </x:c>
      <x:c r="N131" s="56"/>
      <x:c r="O131" s="56"/>
      <x:c r="P131" s="56"/>
      <x:c r="Q131" s="55" t="str">
        <x:f>IF(A131="","",MAX(0,M131-N131+O131))</x:f>
      </x:c>
      <x:c r="R131" s="55" t="str">
        <x:f>IF(A131="","",I131*'المخزون'!$L$6+J131*'المخزون'!$L$7)</x:f>
      </x:c>
      <x:c r="S131" s="55" t="str">
        <x:f>IF(A131="","",Q131-R131-P131)</x:f>
      </x:c>
      <x:c r="T131" s="41"/>
      <x:c r="U131" s="41"/>
      <x:c r="V131" s="56"/>
      <x:c r="W131" s="55" t="str">
        <x:f>IF(A131="","",MAX(0,Q131-V131))</x:f>
      </x:c>
      <x:c r="X131" s="41"/>
      <x:c r="Y131" s="41"/>
      <x:c r="Z131" s="48"/>
      <x:c r="AA131" s="48"/>
      <x:c r="AB131" s="41"/>
      <x:c r="AC131" s="41"/>
      <x:c r="AD131" s="41"/>
      <x:c r="AE131" s="48"/>
      <x:c r="AF131" s="41"/>
      <x:c r="AG131" s="58" t="str">
        <x:f>IF(A131="","",IFERROR(VLOOKUP(A131,'الفيدباك'!$C$7:$G$206,5,FALSE),""))</x:f>
      </x:c>
      <x:c r="AH131" s="42" t="str">
        <x:f>IF(A131="","",IFERROR(VLOOKUP(A131,'الفيدباك'!$C$7:$L$206,10,FALSE),""))</x:f>
      </x:c>
      <x:c r="AI131" s="41"/>
      <x:c r="AJ131" s="42" t="str">
        <x:f>IF(A131="","",IF(A131="مثال-احذفه","صف توضيحي - احذفه قبل البدء",IF(X131="","حدّث حالة الطلب",IF(AND(X131&lt;&gt;"تم التوصيل",X131&lt;&gt;"ملغي",X131&lt;&gt;"مرتجع",Z131&lt;&gt;"",Z131&lt;TODAY()),"متأخر عن موعد التوصيل",IF(AND(X131="تم التوصيل",W131&gt;0),"حصّل المبلغ المتبقي",IF(AND(X131="تم التوصيل",AD131="موافق",OR(AF131="",AF131="لم يُطلب")),"ابعت لينك الفيدباك",IF(AND(AF131="تم إرسال الرابط",AE131&lt;&gt;"",TODAY()-AE131&gt;=3),"تابع الفيدباك","لا يوجد إجراء عاجل")))))))</x:f>
      </x:c>
    </x:row>
    <x:row r="132" ht="31" customHeight="1">
      <x:c r="A132" s="41"/>
      <x:c r="B132" s="46"/>
      <x:c r="C132" s="41"/>
      <x:c r="D132" s="41"/>
      <x:c r="E132" s="50"/>
      <x:c r="F132" s="41"/>
      <x:c r="G132" s="41"/>
      <x:c r="H132" s="41"/>
      <x:c r="I132" s="52"/>
      <x:c r="J132" s="52"/>
      <x:c r="K132" s="53" t="str">
        <x:f>IF(A132="","",I132+J132)</x:f>
      </x:c>
      <x:c r="L132" s="55" t="str">
        <x:f>IF(A132="","",IF(H132="عرض 2 بـ120",'القوائم والإعدادات'!$B$6/2,IF(H132="عينة",0,'القوائم والإعدادات'!$B$5)))</x:f>
      </x:c>
      <x:c r="M132" s="55" t="str">
        <x:f>IF(A132="","",K132*L132)</x:f>
      </x:c>
      <x:c r="N132" s="56"/>
      <x:c r="O132" s="56"/>
      <x:c r="P132" s="56"/>
      <x:c r="Q132" s="55" t="str">
        <x:f>IF(A132="","",MAX(0,M132-N132+O132))</x:f>
      </x:c>
      <x:c r="R132" s="55" t="str">
        <x:f>IF(A132="","",I132*'المخزون'!$L$6+J132*'المخزون'!$L$7)</x:f>
      </x:c>
      <x:c r="S132" s="55" t="str">
        <x:f>IF(A132="","",Q132-R132-P132)</x:f>
      </x:c>
      <x:c r="T132" s="41"/>
      <x:c r="U132" s="41"/>
      <x:c r="V132" s="56"/>
      <x:c r="W132" s="55" t="str">
        <x:f>IF(A132="","",MAX(0,Q132-V132))</x:f>
      </x:c>
      <x:c r="X132" s="41"/>
      <x:c r="Y132" s="41"/>
      <x:c r="Z132" s="48"/>
      <x:c r="AA132" s="48"/>
      <x:c r="AB132" s="41"/>
      <x:c r="AC132" s="41"/>
      <x:c r="AD132" s="41"/>
      <x:c r="AE132" s="48"/>
      <x:c r="AF132" s="41"/>
      <x:c r="AG132" s="58" t="str">
        <x:f>IF(A132="","",IFERROR(VLOOKUP(A132,'الفيدباك'!$C$7:$G$206,5,FALSE),""))</x:f>
      </x:c>
      <x:c r="AH132" s="42" t="str">
        <x:f>IF(A132="","",IFERROR(VLOOKUP(A132,'الفيدباك'!$C$7:$L$206,10,FALSE),""))</x:f>
      </x:c>
      <x:c r="AI132" s="41"/>
      <x:c r="AJ132" s="42" t="str">
        <x:f>IF(A132="","",IF(A132="مثال-احذفه","صف توضيحي - احذفه قبل البدء",IF(X132="","حدّث حالة الطلب",IF(AND(X132&lt;&gt;"تم التوصيل",X132&lt;&gt;"ملغي",X132&lt;&gt;"مرتجع",Z132&lt;&gt;"",Z132&lt;TODAY()),"متأخر عن موعد التوصيل",IF(AND(X132="تم التوصيل",W132&gt;0),"حصّل المبلغ المتبقي",IF(AND(X132="تم التوصيل",AD132="موافق",OR(AF132="",AF132="لم يُطلب")),"ابعت لينك الفيدباك",IF(AND(AF132="تم إرسال الرابط",AE132&lt;&gt;"",TODAY()-AE132&gt;=3),"تابع الفيدباك","لا يوجد إجراء عاجل")))))))</x:f>
      </x:c>
    </x:row>
    <x:row r="133" ht="31" customHeight="1">
      <x:c r="A133" s="41"/>
      <x:c r="B133" s="46"/>
      <x:c r="C133" s="41"/>
      <x:c r="D133" s="41"/>
      <x:c r="E133" s="50"/>
      <x:c r="F133" s="41"/>
      <x:c r="G133" s="41"/>
      <x:c r="H133" s="41"/>
      <x:c r="I133" s="52"/>
      <x:c r="J133" s="52"/>
      <x:c r="K133" s="53" t="str">
        <x:f>IF(A133="","",I133+J133)</x:f>
      </x:c>
      <x:c r="L133" s="55" t="str">
        <x:f>IF(A133="","",IF(H133="عرض 2 بـ120",'القوائم والإعدادات'!$B$6/2,IF(H133="عينة",0,'القوائم والإعدادات'!$B$5)))</x:f>
      </x:c>
      <x:c r="M133" s="55" t="str">
        <x:f>IF(A133="","",K133*L133)</x:f>
      </x:c>
      <x:c r="N133" s="56"/>
      <x:c r="O133" s="56"/>
      <x:c r="P133" s="56"/>
      <x:c r="Q133" s="55" t="str">
        <x:f>IF(A133="","",MAX(0,M133-N133+O133))</x:f>
      </x:c>
      <x:c r="R133" s="55" t="str">
        <x:f>IF(A133="","",I133*'المخزون'!$L$6+J133*'المخزون'!$L$7)</x:f>
      </x:c>
      <x:c r="S133" s="55" t="str">
        <x:f>IF(A133="","",Q133-R133-P133)</x:f>
      </x:c>
      <x:c r="T133" s="41"/>
      <x:c r="U133" s="41"/>
      <x:c r="V133" s="56"/>
      <x:c r="W133" s="55" t="str">
        <x:f>IF(A133="","",MAX(0,Q133-V133))</x:f>
      </x:c>
      <x:c r="X133" s="41"/>
      <x:c r="Y133" s="41"/>
      <x:c r="Z133" s="48"/>
      <x:c r="AA133" s="48"/>
      <x:c r="AB133" s="41"/>
      <x:c r="AC133" s="41"/>
      <x:c r="AD133" s="41"/>
      <x:c r="AE133" s="48"/>
      <x:c r="AF133" s="41"/>
      <x:c r="AG133" s="58" t="str">
        <x:f>IF(A133="","",IFERROR(VLOOKUP(A133,'الفيدباك'!$C$7:$G$206,5,FALSE),""))</x:f>
      </x:c>
      <x:c r="AH133" s="42" t="str">
        <x:f>IF(A133="","",IFERROR(VLOOKUP(A133,'الفيدباك'!$C$7:$L$206,10,FALSE),""))</x:f>
      </x:c>
      <x:c r="AI133" s="41"/>
      <x:c r="AJ133" s="42" t="str">
        <x:f>IF(A133="","",IF(A133="مثال-احذفه","صف توضيحي - احذفه قبل البدء",IF(X133="","حدّث حالة الطلب",IF(AND(X133&lt;&gt;"تم التوصيل",X133&lt;&gt;"ملغي",X133&lt;&gt;"مرتجع",Z133&lt;&gt;"",Z133&lt;TODAY()),"متأخر عن موعد التوصيل",IF(AND(X133="تم التوصيل",W133&gt;0),"حصّل المبلغ المتبقي",IF(AND(X133="تم التوصيل",AD133="موافق",OR(AF133="",AF133="لم يُطلب")),"ابعت لينك الفيدباك",IF(AND(AF133="تم إرسال الرابط",AE133&lt;&gt;"",TODAY()-AE133&gt;=3),"تابع الفيدباك","لا يوجد إجراء عاجل")))))))</x:f>
      </x:c>
    </x:row>
    <x:row r="134" ht="31" customHeight="1">
      <x:c r="A134" s="41"/>
      <x:c r="B134" s="46"/>
      <x:c r="C134" s="41"/>
      <x:c r="D134" s="41"/>
      <x:c r="E134" s="50"/>
      <x:c r="F134" s="41"/>
      <x:c r="G134" s="41"/>
      <x:c r="H134" s="41"/>
      <x:c r="I134" s="52"/>
      <x:c r="J134" s="52"/>
      <x:c r="K134" s="53" t="str">
        <x:f>IF(A134="","",I134+J134)</x:f>
      </x:c>
      <x:c r="L134" s="55" t="str">
        <x:f>IF(A134="","",IF(H134="عرض 2 بـ120",'القوائم والإعدادات'!$B$6/2,IF(H134="عينة",0,'القوائم والإعدادات'!$B$5)))</x:f>
      </x:c>
      <x:c r="M134" s="55" t="str">
        <x:f>IF(A134="","",K134*L134)</x:f>
      </x:c>
      <x:c r="N134" s="56"/>
      <x:c r="O134" s="56"/>
      <x:c r="P134" s="56"/>
      <x:c r="Q134" s="55" t="str">
        <x:f>IF(A134="","",MAX(0,M134-N134+O134))</x:f>
      </x:c>
      <x:c r="R134" s="55" t="str">
        <x:f>IF(A134="","",I134*'المخزون'!$L$6+J134*'المخزون'!$L$7)</x:f>
      </x:c>
      <x:c r="S134" s="55" t="str">
        <x:f>IF(A134="","",Q134-R134-P134)</x:f>
      </x:c>
      <x:c r="T134" s="41"/>
      <x:c r="U134" s="41"/>
      <x:c r="V134" s="56"/>
      <x:c r="W134" s="55" t="str">
        <x:f>IF(A134="","",MAX(0,Q134-V134))</x:f>
      </x:c>
      <x:c r="X134" s="41"/>
      <x:c r="Y134" s="41"/>
      <x:c r="Z134" s="48"/>
      <x:c r="AA134" s="48"/>
      <x:c r="AB134" s="41"/>
      <x:c r="AC134" s="41"/>
      <x:c r="AD134" s="41"/>
      <x:c r="AE134" s="48"/>
      <x:c r="AF134" s="41"/>
      <x:c r="AG134" s="58" t="str">
        <x:f>IF(A134="","",IFERROR(VLOOKUP(A134,'الفيدباك'!$C$7:$G$206,5,FALSE),""))</x:f>
      </x:c>
      <x:c r="AH134" s="42" t="str">
        <x:f>IF(A134="","",IFERROR(VLOOKUP(A134,'الفيدباك'!$C$7:$L$206,10,FALSE),""))</x:f>
      </x:c>
      <x:c r="AI134" s="41"/>
      <x:c r="AJ134" s="42" t="str">
        <x:f>IF(A134="","",IF(A134="مثال-احذفه","صف توضيحي - احذفه قبل البدء",IF(X134="","حدّث حالة الطلب",IF(AND(X134&lt;&gt;"تم التوصيل",X134&lt;&gt;"ملغي",X134&lt;&gt;"مرتجع",Z134&lt;&gt;"",Z134&lt;TODAY()),"متأخر عن موعد التوصيل",IF(AND(X134="تم التوصيل",W134&gt;0),"حصّل المبلغ المتبقي",IF(AND(X134="تم التوصيل",AD134="موافق",OR(AF134="",AF134="لم يُطلب")),"ابعت لينك الفيدباك",IF(AND(AF134="تم إرسال الرابط",AE134&lt;&gt;"",TODAY()-AE134&gt;=3),"تابع الفيدباك","لا يوجد إجراء عاجل")))))))</x:f>
      </x:c>
    </x:row>
    <x:row r="135" ht="31" customHeight="1">
      <x:c r="A135" s="41"/>
      <x:c r="B135" s="46"/>
      <x:c r="C135" s="41"/>
      <x:c r="D135" s="41"/>
      <x:c r="E135" s="50"/>
      <x:c r="F135" s="41"/>
      <x:c r="G135" s="41"/>
      <x:c r="H135" s="41"/>
      <x:c r="I135" s="52"/>
      <x:c r="J135" s="52"/>
      <x:c r="K135" s="53" t="str">
        <x:f>IF(A135="","",I135+J135)</x:f>
      </x:c>
      <x:c r="L135" s="55" t="str">
        <x:f>IF(A135="","",IF(H135="عرض 2 بـ120",'القوائم والإعدادات'!$B$6/2,IF(H135="عينة",0,'القوائم والإعدادات'!$B$5)))</x:f>
      </x:c>
      <x:c r="M135" s="55" t="str">
        <x:f>IF(A135="","",K135*L135)</x:f>
      </x:c>
      <x:c r="N135" s="56"/>
      <x:c r="O135" s="56"/>
      <x:c r="P135" s="56"/>
      <x:c r="Q135" s="55" t="str">
        <x:f>IF(A135="","",MAX(0,M135-N135+O135))</x:f>
      </x:c>
      <x:c r="R135" s="55" t="str">
        <x:f>IF(A135="","",I135*'المخزون'!$L$6+J135*'المخزون'!$L$7)</x:f>
      </x:c>
      <x:c r="S135" s="55" t="str">
        <x:f>IF(A135="","",Q135-R135-P135)</x:f>
      </x:c>
      <x:c r="T135" s="41"/>
      <x:c r="U135" s="41"/>
      <x:c r="V135" s="56"/>
      <x:c r="W135" s="55" t="str">
        <x:f>IF(A135="","",MAX(0,Q135-V135))</x:f>
      </x:c>
      <x:c r="X135" s="41"/>
      <x:c r="Y135" s="41"/>
      <x:c r="Z135" s="48"/>
      <x:c r="AA135" s="48"/>
      <x:c r="AB135" s="41"/>
      <x:c r="AC135" s="41"/>
      <x:c r="AD135" s="41"/>
      <x:c r="AE135" s="48"/>
      <x:c r="AF135" s="41"/>
      <x:c r="AG135" s="58" t="str">
        <x:f>IF(A135="","",IFERROR(VLOOKUP(A135,'الفيدباك'!$C$7:$G$206,5,FALSE),""))</x:f>
      </x:c>
      <x:c r="AH135" s="42" t="str">
        <x:f>IF(A135="","",IFERROR(VLOOKUP(A135,'الفيدباك'!$C$7:$L$206,10,FALSE),""))</x:f>
      </x:c>
      <x:c r="AI135" s="41"/>
      <x:c r="AJ135" s="42" t="str">
        <x:f>IF(A135="","",IF(A135="مثال-احذفه","صف توضيحي - احذفه قبل البدء",IF(X135="","حدّث حالة الطلب",IF(AND(X135&lt;&gt;"تم التوصيل",X135&lt;&gt;"ملغي",X135&lt;&gt;"مرتجع",Z135&lt;&gt;"",Z135&lt;TODAY()),"متأخر عن موعد التوصيل",IF(AND(X135="تم التوصيل",W135&gt;0),"حصّل المبلغ المتبقي",IF(AND(X135="تم التوصيل",AD135="موافق",OR(AF135="",AF135="لم يُطلب")),"ابعت لينك الفيدباك",IF(AND(AF135="تم إرسال الرابط",AE135&lt;&gt;"",TODAY()-AE135&gt;=3),"تابع الفيدباك","لا يوجد إجراء عاجل")))))))</x:f>
      </x:c>
    </x:row>
    <x:row r="136" ht="31" customHeight="1">
      <x:c r="A136" s="41"/>
      <x:c r="B136" s="46"/>
      <x:c r="C136" s="41"/>
      <x:c r="D136" s="41"/>
      <x:c r="E136" s="50"/>
      <x:c r="F136" s="41"/>
      <x:c r="G136" s="41"/>
      <x:c r="H136" s="41"/>
      <x:c r="I136" s="52"/>
      <x:c r="J136" s="52"/>
      <x:c r="K136" s="53" t="str">
        <x:f>IF(A136="","",I136+J136)</x:f>
      </x:c>
      <x:c r="L136" s="55" t="str">
        <x:f>IF(A136="","",IF(H136="عرض 2 بـ120",'القوائم والإعدادات'!$B$6/2,IF(H136="عينة",0,'القوائم والإعدادات'!$B$5)))</x:f>
      </x:c>
      <x:c r="M136" s="55" t="str">
        <x:f>IF(A136="","",K136*L136)</x:f>
      </x:c>
      <x:c r="N136" s="56"/>
      <x:c r="O136" s="56"/>
      <x:c r="P136" s="56"/>
      <x:c r="Q136" s="55" t="str">
        <x:f>IF(A136="","",MAX(0,M136-N136+O136))</x:f>
      </x:c>
      <x:c r="R136" s="55" t="str">
        <x:f>IF(A136="","",I136*'المخزون'!$L$6+J136*'المخزون'!$L$7)</x:f>
      </x:c>
      <x:c r="S136" s="55" t="str">
        <x:f>IF(A136="","",Q136-R136-P136)</x:f>
      </x:c>
      <x:c r="T136" s="41"/>
      <x:c r="U136" s="41"/>
      <x:c r="V136" s="56"/>
      <x:c r="W136" s="55" t="str">
        <x:f>IF(A136="","",MAX(0,Q136-V136))</x:f>
      </x:c>
      <x:c r="X136" s="41"/>
      <x:c r="Y136" s="41"/>
      <x:c r="Z136" s="48"/>
      <x:c r="AA136" s="48"/>
      <x:c r="AB136" s="41"/>
      <x:c r="AC136" s="41"/>
      <x:c r="AD136" s="41"/>
      <x:c r="AE136" s="48"/>
      <x:c r="AF136" s="41"/>
      <x:c r="AG136" s="58" t="str">
        <x:f>IF(A136="","",IFERROR(VLOOKUP(A136,'الفيدباك'!$C$7:$G$206,5,FALSE),""))</x:f>
      </x:c>
      <x:c r="AH136" s="42" t="str">
        <x:f>IF(A136="","",IFERROR(VLOOKUP(A136,'الفيدباك'!$C$7:$L$206,10,FALSE),""))</x:f>
      </x:c>
      <x:c r="AI136" s="41"/>
      <x:c r="AJ136" s="42" t="str">
        <x:f>IF(A136="","",IF(A136="مثال-احذفه","صف توضيحي - احذفه قبل البدء",IF(X136="","حدّث حالة الطلب",IF(AND(X136&lt;&gt;"تم التوصيل",X136&lt;&gt;"ملغي",X136&lt;&gt;"مرتجع",Z136&lt;&gt;"",Z136&lt;TODAY()),"متأخر عن موعد التوصيل",IF(AND(X136="تم التوصيل",W136&gt;0),"حصّل المبلغ المتبقي",IF(AND(X136="تم التوصيل",AD136="موافق",OR(AF136="",AF136="لم يُطلب")),"ابعت لينك الفيدباك",IF(AND(AF136="تم إرسال الرابط",AE136&lt;&gt;"",TODAY()-AE136&gt;=3),"تابع الفيدباك","لا يوجد إجراء عاجل")))))))</x:f>
      </x:c>
    </x:row>
    <x:row r="137" ht="31" customHeight="1">
      <x:c r="A137" s="41"/>
      <x:c r="B137" s="46"/>
      <x:c r="C137" s="41"/>
      <x:c r="D137" s="41"/>
      <x:c r="E137" s="50"/>
      <x:c r="F137" s="41"/>
      <x:c r="G137" s="41"/>
      <x:c r="H137" s="41"/>
      <x:c r="I137" s="52"/>
      <x:c r="J137" s="52"/>
      <x:c r="K137" s="53" t="str">
        <x:f>IF(A137="","",I137+J137)</x:f>
      </x:c>
      <x:c r="L137" s="55" t="str">
        <x:f>IF(A137="","",IF(H137="عرض 2 بـ120",'القوائم والإعدادات'!$B$6/2,IF(H137="عينة",0,'القوائم والإعدادات'!$B$5)))</x:f>
      </x:c>
      <x:c r="M137" s="55" t="str">
        <x:f>IF(A137="","",K137*L137)</x:f>
      </x:c>
      <x:c r="N137" s="56"/>
      <x:c r="O137" s="56"/>
      <x:c r="P137" s="56"/>
      <x:c r="Q137" s="55" t="str">
        <x:f>IF(A137="","",MAX(0,M137-N137+O137))</x:f>
      </x:c>
      <x:c r="R137" s="55" t="str">
        <x:f>IF(A137="","",I137*'المخزون'!$L$6+J137*'المخزون'!$L$7)</x:f>
      </x:c>
      <x:c r="S137" s="55" t="str">
        <x:f>IF(A137="","",Q137-R137-P137)</x:f>
      </x:c>
      <x:c r="T137" s="41"/>
      <x:c r="U137" s="41"/>
      <x:c r="V137" s="56"/>
      <x:c r="W137" s="55" t="str">
        <x:f>IF(A137="","",MAX(0,Q137-V137))</x:f>
      </x:c>
      <x:c r="X137" s="41"/>
      <x:c r="Y137" s="41"/>
      <x:c r="Z137" s="48"/>
      <x:c r="AA137" s="48"/>
      <x:c r="AB137" s="41"/>
      <x:c r="AC137" s="41"/>
      <x:c r="AD137" s="41"/>
      <x:c r="AE137" s="48"/>
      <x:c r="AF137" s="41"/>
      <x:c r="AG137" s="58" t="str">
        <x:f>IF(A137="","",IFERROR(VLOOKUP(A137,'الفيدباك'!$C$7:$G$206,5,FALSE),""))</x:f>
      </x:c>
      <x:c r="AH137" s="42" t="str">
        <x:f>IF(A137="","",IFERROR(VLOOKUP(A137,'الفيدباك'!$C$7:$L$206,10,FALSE),""))</x:f>
      </x:c>
      <x:c r="AI137" s="41"/>
      <x:c r="AJ137" s="42" t="str">
        <x:f>IF(A137="","",IF(A137="مثال-احذفه","صف توضيحي - احذفه قبل البدء",IF(X137="","حدّث حالة الطلب",IF(AND(X137&lt;&gt;"تم التوصيل",X137&lt;&gt;"ملغي",X137&lt;&gt;"مرتجع",Z137&lt;&gt;"",Z137&lt;TODAY()),"متأخر عن موعد التوصيل",IF(AND(X137="تم التوصيل",W137&gt;0),"حصّل المبلغ المتبقي",IF(AND(X137="تم التوصيل",AD137="موافق",OR(AF137="",AF137="لم يُطلب")),"ابعت لينك الفيدباك",IF(AND(AF137="تم إرسال الرابط",AE137&lt;&gt;"",TODAY()-AE137&gt;=3),"تابع الفيدباك","لا يوجد إجراء عاجل")))))))</x:f>
      </x:c>
    </x:row>
    <x:row r="138" ht="31" customHeight="1">
      <x:c r="A138" s="41"/>
      <x:c r="B138" s="46"/>
      <x:c r="C138" s="41"/>
      <x:c r="D138" s="41"/>
      <x:c r="E138" s="50"/>
      <x:c r="F138" s="41"/>
      <x:c r="G138" s="41"/>
      <x:c r="H138" s="41"/>
      <x:c r="I138" s="52"/>
      <x:c r="J138" s="52"/>
      <x:c r="K138" s="53" t="str">
        <x:f>IF(A138="","",I138+J138)</x:f>
      </x:c>
      <x:c r="L138" s="55" t="str">
        <x:f>IF(A138="","",IF(H138="عرض 2 بـ120",'القوائم والإعدادات'!$B$6/2,IF(H138="عينة",0,'القوائم والإعدادات'!$B$5)))</x:f>
      </x:c>
      <x:c r="M138" s="55" t="str">
        <x:f>IF(A138="","",K138*L138)</x:f>
      </x:c>
      <x:c r="N138" s="56"/>
      <x:c r="O138" s="56"/>
      <x:c r="P138" s="56"/>
      <x:c r="Q138" s="55" t="str">
        <x:f>IF(A138="","",MAX(0,M138-N138+O138))</x:f>
      </x:c>
      <x:c r="R138" s="55" t="str">
        <x:f>IF(A138="","",I138*'المخزون'!$L$6+J138*'المخزون'!$L$7)</x:f>
      </x:c>
      <x:c r="S138" s="55" t="str">
        <x:f>IF(A138="","",Q138-R138-P138)</x:f>
      </x:c>
      <x:c r="T138" s="41"/>
      <x:c r="U138" s="41"/>
      <x:c r="V138" s="56"/>
      <x:c r="W138" s="55" t="str">
        <x:f>IF(A138="","",MAX(0,Q138-V138))</x:f>
      </x:c>
      <x:c r="X138" s="41"/>
      <x:c r="Y138" s="41"/>
      <x:c r="Z138" s="48"/>
      <x:c r="AA138" s="48"/>
      <x:c r="AB138" s="41"/>
      <x:c r="AC138" s="41"/>
      <x:c r="AD138" s="41"/>
      <x:c r="AE138" s="48"/>
      <x:c r="AF138" s="41"/>
      <x:c r="AG138" s="58" t="str">
        <x:f>IF(A138="","",IFERROR(VLOOKUP(A138,'الفيدباك'!$C$7:$G$206,5,FALSE),""))</x:f>
      </x:c>
      <x:c r="AH138" s="42" t="str">
        <x:f>IF(A138="","",IFERROR(VLOOKUP(A138,'الفيدباك'!$C$7:$L$206,10,FALSE),""))</x:f>
      </x:c>
      <x:c r="AI138" s="41"/>
      <x:c r="AJ138" s="42" t="str">
        <x:f>IF(A138="","",IF(A138="مثال-احذفه","صف توضيحي - احذفه قبل البدء",IF(X138="","حدّث حالة الطلب",IF(AND(X138&lt;&gt;"تم التوصيل",X138&lt;&gt;"ملغي",X138&lt;&gt;"مرتجع",Z138&lt;&gt;"",Z138&lt;TODAY()),"متأخر عن موعد التوصيل",IF(AND(X138="تم التوصيل",W138&gt;0),"حصّل المبلغ المتبقي",IF(AND(X138="تم التوصيل",AD138="موافق",OR(AF138="",AF138="لم يُطلب")),"ابعت لينك الفيدباك",IF(AND(AF138="تم إرسال الرابط",AE138&lt;&gt;"",TODAY()-AE138&gt;=3),"تابع الفيدباك","لا يوجد إجراء عاجل")))))))</x:f>
      </x:c>
    </x:row>
    <x:row r="139" ht="31" customHeight="1">
      <x:c r="A139" s="41"/>
      <x:c r="B139" s="46"/>
      <x:c r="C139" s="41"/>
      <x:c r="D139" s="41"/>
      <x:c r="E139" s="50"/>
      <x:c r="F139" s="41"/>
      <x:c r="G139" s="41"/>
      <x:c r="H139" s="41"/>
      <x:c r="I139" s="52"/>
      <x:c r="J139" s="52"/>
      <x:c r="K139" s="53" t="str">
        <x:f>IF(A139="","",I139+J139)</x:f>
      </x:c>
      <x:c r="L139" s="55" t="str">
        <x:f>IF(A139="","",IF(H139="عرض 2 بـ120",'القوائم والإعدادات'!$B$6/2,IF(H139="عينة",0,'القوائم والإعدادات'!$B$5)))</x:f>
      </x:c>
      <x:c r="M139" s="55" t="str">
        <x:f>IF(A139="","",K139*L139)</x:f>
      </x:c>
      <x:c r="N139" s="56"/>
      <x:c r="O139" s="56"/>
      <x:c r="P139" s="56"/>
      <x:c r="Q139" s="55" t="str">
        <x:f>IF(A139="","",MAX(0,M139-N139+O139))</x:f>
      </x:c>
      <x:c r="R139" s="55" t="str">
        <x:f>IF(A139="","",I139*'المخزون'!$L$6+J139*'المخزون'!$L$7)</x:f>
      </x:c>
      <x:c r="S139" s="55" t="str">
        <x:f>IF(A139="","",Q139-R139-P139)</x:f>
      </x:c>
      <x:c r="T139" s="41"/>
      <x:c r="U139" s="41"/>
      <x:c r="V139" s="56"/>
      <x:c r="W139" s="55" t="str">
        <x:f>IF(A139="","",MAX(0,Q139-V139))</x:f>
      </x:c>
      <x:c r="X139" s="41"/>
      <x:c r="Y139" s="41"/>
      <x:c r="Z139" s="48"/>
      <x:c r="AA139" s="48"/>
      <x:c r="AB139" s="41"/>
      <x:c r="AC139" s="41"/>
      <x:c r="AD139" s="41"/>
      <x:c r="AE139" s="48"/>
      <x:c r="AF139" s="41"/>
      <x:c r="AG139" s="58" t="str">
        <x:f>IF(A139="","",IFERROR(VLOOKUP(A139,'الفيدباك'!$C$7:$G$206,5,FALSE),""))</x:f>
      </x:c>
      <x:c r="AH139" s="42" t="str">
        <x:f>IF(A139="","",IFERROR(VLOOKUP(A139,'الفيدباك'!$C$7:$L$206,10,FALSE),""))</x:f>
      </x:c>
      <x:c r="AI139" s="41"/>
      <x:c r="AJ139" s="42" t="str">
        <x:f>IF(A139="","",IF(A139="مثال-احذفه","صف توضيحي - احذفه قبل البدء",IF(X139="","حدّث حالة الطلب",IF(AND(X139&lt;&gt;"تم التوصيل",X139&lt;&gt;"ملغي",X139&lt;&gt;"مرتجع",Z139&lt;&gt;"",Z139&lt;TODAY()),"متأخر عن موعد التوصيل",IF(AND(X139="تم التوصيل",W139&gt;0),"حصّل المبلغ المتبقي",IF(AND(X139="تم التوصيل",AD139="موافق",OR(AF139="",AF139="لم يُطلب")),"ابعت لينك الفيدباك",IF(AND(AF139="تم إرسال الرابط",AE139&lt;&gt;"",TODAY()-AE139&gt;=3),"تابع الفيدباك","لا يوجد إجراء عاجل")))))))</x:f>
      </x:c>
    </x:row>
    <x:row r="140" ht="31" customHeight="1">
      <x:c r="A140" s="41"/>
      <x:c r="B140" s="46"/>
      <x:c r="C140" s="41"/>
      <x:c r="D140" s="41"/>
      <x:c r="E140" s="50"/>
      <x:c r="F140" s="41"/>
      <x:c r="G140" s="41"/>
      <x:c r="H140" s="41"/>
      <x:c r="I140" s="52"/>
      <x:c r="J140" s="52"/>
      <x:c r="K140" s="53" t="str">
        <x:f>IF(A140="","",I140+J140)</x:f>
      </x:c>
      <x:c r="L140" s="55" t="str">
        <x:f>IF(A140="","",IF(H140="عرض 2 بـ120",'القوائم والإعدادات'!$B$6/2,IF(H140="عينة",0,'القوائم والإعدادات'!$B$5)))</x:f>
      </x:c>
      <x:c r="M140" s="55" t="str">
        <x:f>IF(A140="","",K140*L140)</x:f>
      </x:c>
      <x:c r="N140" s="56"/>
      <x:c r="O140" s="56"/>
      <x:c r="P140" s="56"/>
      <x:c r="Q140" s="55" t="str">
        <x:f>IF(A140="","",MAX(0,M140-N140+O140))</x:f>
      </x:c>
      <x:c r="R140" s="55" t="str">
        <x:f>IF(A140="","",I140*'المخزون'!$L$6+J140*'المخزون'!$L$7)</x:f>
      </x:c>
      <x:c r="S140" s="55" t="str">
        <x:f>IF(A140="","",Q140-R140-P140)</x:f>
      </x:c>
      <x:c r="T140" s="41"/>
      <x:c r="U140" s="41"/>
      <x:c r="V140" s="56"/>
      <x:c r="W140" s="55" t="str">
        <x:f>IF(A140="","",MAX(0,Q140-V140))</x:f>
      </x:c>
      <x:c r="X140" s="41"/>
      <x:c r="Y140" s="41"/>
      <x:c r="Z140" s="48"/>
      <x:c r="AA140" s="48"/>
      <x:c r="AB140" s="41"/>
      <x:c r="AC140" s="41"/>
      <x:c r="AD140" s="41"/>
      <x:c r="AE140" s="48"/>
      <x:c r="AF140" s="41"/>
      <x:c r="AG140" s="58" t="str">
        <x:f>IF(A140="","",IFERROR(VLOOKUP(A140,'الفيدباك'!$C$7:$G$206,5,FALSE),""))</x:f>
      </x:c>
      <x:c r="AH140" s="42" t="str">
        <x:f>IF(A140="","",IFERROR(VLOOKUP(A140,'الفيدباك'!$C$7:$L$206,10,FALSE),""))</x:f>
      </x:c>
      <x:c r="AI140" s="41"/>
      <x:c r="AJ140" s="42" t="str">
        <x:f>IF(A140="","",IF(A140="مثال-احذفه","صف توضيحي - احذفه قبل البدء",IF(X140="","حدّث حالة الطلب",IF(AND(X140&lt;&gt;"تم التوصيل",X140&lt;&gt;"ملغي",X140&lt;&gt;"مرتجع",Z140&lt;&gt;"",Z140&lt;TODAY()),"متأخر عن موعد التوصيل",IF(AND(X140="تم التوصيل",W140&gt;0),"حصّل المبلغ المتبقي",IF(AND(X140="تم التوصيل",AD140="موافق",OR(AF140="",AF140="لم يُطلب")),"ابعت لينك الفيدباك",IF(AND(AF140="تم إرسال الرابط",AE140&lt;&gt;"",TODAY()-AE140&gt;=3),"تابع الفيدباك","لا يوجد إجراء عاجل")))))))</x:f>
      </x:c>
    </x:row>
    <x:row r="141" ht="31" customHeight="1">
      <x:c r="A141" s="41"/>
      <x:c r="B141" s="46"/>
      <x:c r="C141" s="41"/>
      <x:c r="D141" s="41"/>
      <x:c r="E141" s="50"/>
      <x:c r="F141" s="41"/>
      <x:c r="G141" s="41"/>
      <x:c r="H141" s="41"/>
      <x:c r="I141" s="52"/>
      <x:c r="J141" s="52"/>
      <x:c r="K141" s="53" t="str">
        <x:f>IF(A141="","",I141+J141)</x:f>
      </x:c>
      <x:c r="L141" s="55" t="str">
        <x:f>IF(A141="","",IF(H141="عرض 2 بـ120",'القوائم والإعدادات'!$B$6/2,IF(H141="عينة",0,'القوائم والإعدادات'!$B$5)))</x:f>
      </x:c>
      <x:c r="M141" s="55" t="str">
        <x:f>IF(A141="","",K141*L141)</x:f>
      </x:c>
      <x:c r="N141" s="56"/>
      <x:c r="O141" s="56"/>
      <x:c r="P141" s="56"/>
      <x:c r="Q141" s="55" t="str">
        <x:f>IF(A141="","",MAX(0,M141-N141+O141))</x:f>
      </x:c>
      <x:c r="R141" s="55" t="str">
        <x:f>IF(A141="","",I141*'المخزون'!$L$6+J141*'المخزون'!$L$7)</x:f>
      </x:c>
      <x:c r="S141" s="55" t="str">
        <x:f>IF(A141="","",Q141-R141-P141)</x:f>
      </x:c>
      <x:c r="T141" s="41"/>
      <x:c r="U141" s="41"/>
      <x:c r="V141" s="56"/>
      <x:c r="W141" s="55" t="str">
        <x:f>IF(A141="","",MAX(0,Q141-V141))</x:f>
      </x:c>
      <x:c r="X141" s="41"/>
      <x:c r="Y141" s="41"/>
      <x:c r="Z141" s="48"/>
      <x:c r="AA141" s="48"/>
      <x:c r="AB141" s="41"/>
      <x:c r="AC141" s="41"/>
      <x:c r="AD141" s="41"/>
      <x:c r="AE141" s="48"/>
      <x:c r="AF141" s="41"/>
      <x:c r="AG141" s="58" t="str">
        <x:f>IF(A141="","",IFERROR(VLOOKUP(A141,'الفيدباك'!$C$7:$G$206,5,FALSE),""))</x:f>
      </x:c>
      <x:c r="AH141" s="42" t="str">
        <x:f>IF(A141="","",IFERROR(VLOOKUP(A141,'الفيدباك'!$C$7:$L$206,10,FALSE),""))</x:f>
      </x:c>
      <x:c r="AI141" s="41"/>
      <x:c r="AJ141" s="42" t="str">
        <x:f>IF(A141="","",IF(A141="مثال-احذفه","صف توضيحي - احذفه قبل البدء",IF(X141="","حدّث حالة الطلب",IF(AND(X141&lt;&gt;"تم التوصيل",X141&lt;&gt;"ملغي",X141&lt;&gt;"مرتجع",Z141&lt;&gt;"",Z141&lt;TODAY()),"متأخر عن موعد التوصيل",IF(AND(X141="تم التوصيل",W141&gt;0),"حصّل المبلغ المتبقي",IF(AND(X141="تم التوصيل",AD141="موافق",OR(AF141="",AF141="لم يُطلب")),"ابعت لينك الفيدباك",IF(AND(AF141="تم إرسال الرابط",AE141&lt;&gt;"",TODAY()-AE141&gt;=3),"تابع الفيدباك","لا يوجد إجراء عاجل")))))))</x:f>
      </x:c>
    </x:row>
    <x:row r="142" ht="31" customHeight="1">
      <x:c r="A142" s="41"/>
      <x:c r="B142" s="46"/>
      <x:c r="C142" s="41"/>
      <x:c r="D142" s="41"/>
      <x:c r="E142" s="50"/>
      <x:c r="F142" s="41"/>
      <x:c r="G142" s="41"/>
      <x:c r="H142" s="41"/>
      <x:c r="I142" s="52"/>
      <x:c r="J142" s="52"/>
      <x:c r="K142" s="53" t="str">
        <x:f>IF(A142="","",I142+J142)</x:f>
      </x:c>
      <x:c r="L142" s="55" t="str">
        <x:f>IF(A142="","",IF(H142="عرض 2 بـ120",'القوائم والإعدادات'!$B$6/2,IF(H142="عينة",0,'القوائم والإعدادات'!$B$5)))</x:f>
      </x:c>
      <x:c r="M142" s="55" t="str">
        <x:f>IF(A142="","",K142*L142)</x:f>
      </x:c>
      <x:c r="N142" s="56"/>
      <x:c r="O142" s="56"/>
      <x:c r="P142" s="56"/>
      <x:c r="Q142" s="55" t="str">
        <x:f>IF(A142="","",MAX(0,M142-N142+O142))</x:f>
      </x:c>
      <x:c r="R142" s="55" t="str">
        <x:f>IF(A142="","",I142*'المخزون'!$L$6+J142*'المخزون'!$L$7)</x:f>
      </x:c>
      <x:c r="S142" s="55" t="str">
        <x:f>IF(A142="","",Q142-R142-P142)</x:f>
      </x:c>
      <x:c r="T142" s="41"/>
      <x:c r="U142" s="41"/>
      <x:c r="V142" s="56"/>
      <x:c r="W142" s="55" t="str">
        <x:f>IF(A142="","",MAX(0,Q142-V142))</x:f>
      </x:c>
      <x:c r="X142" s="41"/>
      <x:c r="Y142" s="41"/>
      <x:c r="Z142" s="48"/>
      <x:c r="AA142" s="48"/>
      <x:c r="AB142" s="41"/>
      <x:c r="AC142" s="41"/>
      <x:c r="AD142" s="41"/>
      <x:c r="AE142" s="48"/>
      <x:c r="AF142" s="41"/>
      <x:c r="AG142" s="58" t="str">
        <x:f>IF(A142="","",IFERROR(VLOOKUP(A142,'الفيدباك'!$C$7:$G$206,5,FALSE),""))</x:f>
      </x:c>
      <x:c r="AH142" s="42" t="str">
        <x:f>IF(A142="","",IFERROR(VLOOKUP(A142,'الفيدباك'!$C$7:$L$206,10,FALSE),""))</x:f>
      </x:c>
      <x:c r="AI142" s="41"/>
      <x:c r="AJ142" s="42" t="str">
        <x:f>IF(A142="","",IF(A142="مثال-احذفه","صف توضيحي - احذفه قبل البدء",IF(X142="","حدّث حالة الطلب",IF(AND(X142&lt;&gt;"تم التوصيل",X142&lt;&gt;"ملغي",X142&lt;&gt;"مرتجع",Z142&lt;&gt;"",Z142&lt;TODAY()),"متأخر عن موعد التوصيل",IF(AND(X142="تم التوصيل",W142&gt;0),"حصّل المبلغ المتبقي",IF(AND(X142="تم التوصيل",AD142="موافق",OR(AF142="",AF142="لم يُطلب")),"ابعت لينك الفيدباك",IF(AND(AF142="تم إرسال الرابط",AE142&lt;&gt;"",TODAY()-AE142&gt;=3),"تابع الفيدباك","لا يوجد إجراء عاجل")))))))</x:f>
      </x:c>
    </x:row>
    <x:row r="143" ht="31" customHeight="1">
      <x:c r="A143" s="41"/>
      <x:c r="B143" s="46"/>
      <x:c r="C143" s="41"/>
      <x:c r="D143" s="41"/>
      <x:c r="E143" s="50"/>
      <x:c r="F143" s="41"/>
      <x:c r="G143" s="41"/>
      <x:c r="H143" s="41"/>
      <x:c r="I143" s="52"/>
      <x:c r="J143" s="52"/>
      <x:c r="K143" s="53" t="str">
        <x:f>IF(A143="","",I143+J143)</x:f>
      </x:c>
      <x:c r="L143" s="55" t="str">
        <x:f>IF(A143="","",IF(H143="عرض 2 بـ120",'القوائم والإعدادات'!$B$6/2,IF(H143="عينة",0,'القوائم والإعدادات'!$B$5)))</x:f>
      </x:c>
      <x:c r="M143" s="55" t="str">
        <x:f>IF(A143="","",K143*L143)</x:f>
      </x:c>
      <x:c r="N143" s="56"/>
      <x:c r="O143" s="56"/>
      <x:c r="P143" s="56"/>
      <x:c r="Q143" s="55" t="str">
        <x:f>IF(A143="","",MAX(0,M143-N143+O143))</x:f>
      </x:c>
      <x:c r="R143" s="55" t="str">
        <x:f>IF(A143="","",I143*'المخزون'!$L$6+J143*'المخزون'!$L$7)</x:f>
      </x:c>
      <x:c r="S143" s="55" t="str">
        <x:f>IF(A143="","",Q143-R143-P143)</x:f>
      </x:c>
      <x:c r="T143" s="41"/>
      <x:c r="U143" s="41"/>
      <x:c r="V143" s="56"/>
      <x:c r="W143" s="55" t="str">
        <x:f>IF(A143="","",MAX(0,Q143-V143))</x:f>
      </x:c>
      <x:c r="X143" s="41"/>
      <x:c r="Y143" s="41"/>
      <x:c r="Z143" s="48"/>
      <x:c r="AA143" s="48"/>
      <x:c r="AB143" s="41"/>
      <x:c r="AC143" s="41"/>
      <x:c r="AD143" s="41"/>
      <x:c r="AE143" s="48"/>
      <x:c r="AF143" s="41"/>
      <x:c r="AG143" s="58" t="str">
        <x:f>IF(A143="","",IFERROR(VLOOKUP(A143,'الفيدباك'!$C$7:$G$206,5,FALSE),""))</x:f>
      </x:c>
      <x:c r="AH143" s="42" t="str">
        <x:f>IF(A143="","",IFERROR(VLOOKUP(A143,'الفيدباك'!$C$7:$L$206,10,FALSE),""))</x:f>
      </x:c>
      <x:c r="AI143" s="41"/>
      <x:c r="AJ143" s="42" t="str">
        <x:f>IF(A143="","",IF(A143="مثال-احذفه","صف توضيحي - احذفه قبل البدء",IF(X143="","حدّث حالة الطلب",IF(AND(X143&lt;&gt;"تم التوصيل",X143&lt;&gt;"ملغي",X143&lt;&gt;"مرتجع",Z143&lt;&gt;"",Z143&lt;TODAY()),"متأخر عن موعد التوصيل",IF(AND(X143="تم التوصيل",W143&gt;0),"حصّل المبلغ المتبقي",IF(AND(X143="تم التوصيل",AD143="موافق",OR(AF143="",AF143="لم يُطلب")),"ابعت لينك الفيدباك",IF(AND(AF143="تم إرسال الرابط",AE143&lt;&gt;"",TODAY()-AE143&gt;=3),"تابع الفيدباك","لا يوجد إجراء عاجل")))))))</x:f>
      </x:c>
    </x:row>
    <x:row r="144" ht="31" customHeight="1">
      <x:c r="A144" s="41"/>
      <x:c r="B144" s="46"/>
      <x:c r="C144" s="41"/>
      <x:c r="D144" s="41"/>
      <x:c r="E144" s="50"/>
      <x:c r="F144" s="41"/>
      <x:c r="G144" s="41"/>
      <x:c r="H144" s="41"/>
      <x:c r="I144" s="52"/>
      <x:c r="J144" s="52"/>
      <x:c r="K144" s="53" t="str">
        <x:f>IF(A144="","",I144+J144)</x:f>
      </x:c>
      <x:c r="L144" s="55" t="str">
        <x:f>IF(A144="","",IF(H144="عرض 2 بـ120",'القوائم والإعدادات'!$B$6/2,IF(H144="عينة",0,'القوائم والإعدادات'!$B$5)))</x:f>
      </x:c>
      <x:c r="M144" s="55" t="str">
        <x:f>IF(A144="","",K144*L144)</x:f>
      </x:c>
      <x:c r="N144" s="56"/>
      <x:c r="O144" s="56"/>
      <x:c r="P144" s="56"/>
      <x:c r="Q144" s="55" t="str">
        <x:f>IF(A144="","",MAX(0,M144-N144+O144))</x:f>
      </x:c>
      <x:c r="R144" s="55" t="str">
        <x:f>IF(A144="","",I144*'المخزون'!$L$6+J144*'المخزون'!$L$7)</x:f>
      </x:c>
      <x:c r="S144" s="55" t="str">
        <x:f>IF(A144="","",Q144-R144-P144)</x:f>
      </x:c>
      <x:c r="T144" s="41"/>
      <x:c r="U144" s="41"/>
      <x:c r="V144" s="56"/>
      <x:c r="W144" s="55" t="str">
        <x:f>IF(A144="","",MAX(0,Q144-V144))</x:f>
      </x:c>
      <x:c r="X144" s="41"/>
      <x:c r="Y144" s="41"/>
      <x:c r="Z144" s="48"/>
      <x:c r="AA144" s="48"/>
      <x:c r="AB144" s="41"/>
      <x:c r="AC144" s="41"/>
      <x:c r="AD144" s="41"/>
      <x:c r="AE144" s="48"/>
      <x:c r="AF144" s="41"/>
      <x:c r="AG144" s="58" t="str">
        <x:f>IF(A144="","",IFERROR(VLOOKUP(A144,'الفيدباك'!$C$7:$G$206,5,FALSE),""))</x:f>
      </x:c>
      <x:c r="AH144" s="42" t="str">
        <x:f>IF(A144="","",IFERROR(VLOOKUP(A144,'الفيدباك'!$C$7:$L$206,10,FALSE),""))</x:f>
      </x:c>
      <x:c r="AI144" s="41"/>
      <x:c r="AJ144" s="42" t="str">
        <x:f>IF(A144="","",IF(A144="مثال-احذفه","صف توضيحي - احذفه قبل البدء",IF(X144="","حدّث حالة الطلب",IF(AND(X144&lt;&gt;"تم التوصيل",X144&lt;&gt;"ملغي",X144&lt;&gt;"مرتجع",Z144&lt;&gt;"",Z144&lt;TODAY()),"متأخر عن موعد التوصيل",IF(AND(X144="تم التوصيل",W144&gt;0),"حصّل المبلغ المتبقي",IF(AND(X144="تم التوصيل",AD144="موافق",OR(AF144="",AF144="لم يُطلب")),"ابعت لينك الفيدباك",IF(AND(AF144="تم إرسال الرابط",AE144&lt;&gt;"",TODAY()-AE144&gt;=3),"تابع الفيدباك","لا يوجد إجراء عاجل")))))))</x:f>
      </x:c>
    </x:row>
    <x:row r="145" ht="31" customHeight="1">
      <x:c r="A145" s="41"/>
      <x:c r="B145" s="46"/>
      <x:c r="C145" s="41"/>
      <x:c r="D145" s="41"/>
      <x:c r="E145" s="50"/>
      <x:c r="F145" s="41"/>
      <x:c r="G145" s="41"/>
      <x:c r="H145" s="41"/>
      <x:c r="I145" s="52"/>
      <x:c r="J145" s="52"/>
      <x:c r="K145" s="53" t="str">
        <x:f>IF(A145="","",I145+J145)</x:f>
      </x:c>
      <x:c r="L145" s="55" t="str">
        <x:f>IF(A145="","",IF(H145="عرض 2 بـ120",'القوائم والإعدادات'!$B$6/2,IF(H145="عينة",0,'القوائم والإعدادات'!$B$5)))</x:f>
      </x:c>
      <x:c r="M145" s="55" t="str">
        <x:f>IF(A145="","",K145*L145)</x:f>
      </x:c>
      <x:c r="N145" s="56"/>
      <x:c r="O145" s="56"/>
      <x:c r="P145" s="56"/>
      <x:c r="Q145" s="55" t="str">
        <x:f>IF(A145="","",MAX(0,M145-N145+O145))</x:f>
      </x:c>
      <x:c r="R145" s="55" t="str">
        <x:f>IF(A145="","",I145*'المخزون'!$L$6+J145*'المخزون'!$L$7)</x:f>
      </x:c>
      <x:c r="S145" s="55" t="str">
        <x:f>IF(A145="","",Q145-R145-P145)</x:f>
      </x:c>
      <x:c r="T145" s="41"/>
      <x:c r="U145" s="41"/>
      <x:c r="V145" s="56"/>
      <x:c r="W145" s="55" t="str">
        <x:f>IF(A145="","",MAX(0,Q145-V145))</x:f>
      </x:c>
      <x:c r="X145" s="41"/>
      <x:c r="Y145" s="41"/>
      <x:c r="Z145" s="48"/>
      <x:c r="AA145" s="48"/>
      <x:c r="AB145" s="41"/>
      <x:c r="AC145" s="41"/>
      <x:c r="AD145" s="41"/>
      <x:c r="AE145" s="48"/>
      <x:c r="AF145" s="41"/>
      <x:c r="AG145" s="58" t="str">
        <x:f>IF(A145="","",IFERROR(VLOOKUP(A145,'الفيدباك'!$C$7:$G$206,5,FALSE),""))</x:f>
      </x:c>
      <x:c r="AH145" s="42" t="str">
        <x:f>IF(A145="","",IFERROR(VLOOKUP(A145,'الفيدباك'!$C$7:$L$206,10,FALSE),""))</x:f>
      </x:c>
      <x:c r="AI145" s="41"/>
      <x:c r="AJ145" s="42" t="str">
        <x:f>IF(A145="","",IF(A145="مثال-احذفه","صف توضيحي - احذفه قبل البدء",IF(X145="","حدّث حالة الطلب",IF(AND(X145&lt;&gt;"تم التوصيل",X145&lt;&gt;"ملغي",X145&lt;&gt;"مرتجع",Z145&lt;&gt;"",Z145&lt;TODAY()),"متأخر عن موعد التوصيل",IF(AND(X145="تم التوصيل",W145&gt;0),"حصّل المبلغ المتبقي",IF(AND(X145="تم التوصيل",AD145="موافق",OR(AF145="",AF145="لم يُطلب")),"ابعت لينك الفيدباك",IF(AND(AF145="تم إرسال الرابط",AE145&lt;&gt;"",TODAY()-AE145&gt;=3),"تابع الفيدباك","لا يوجد إجراء عاجل")))))))</x:f>
      </x:c>
    </x:row>
    <x:row r="146" ht="31" customHeight="1">
      <x:c r="A146" s="41"/>
      <x:c r="B146" s="46"/>
      <x:c r="C146" s="41"/>
      <x:c r="D146" s="41"/>
      <x:c r="E146" s="50"/>
      <x:c r="F146" s="41"/>
      <x:c r="G146" s="41"/>
      <x:c r="H146" s="41"/>
      <x:c r="I146" s="52"/>
      <x:c r="J146" s="52"/>
      <x:c r="K146" s="53" t="str">
        <x:f>IF(A146="","",I146+J146)</x:f>
      </x:c>
      <x:c r="L146" s="55" t="str">
        <x:f>IF(A146="","",IF(H146="عرض 2 بـ120",'القوائم والإعدادات'!$B$6/2,IF(H146="عينة",0,'القوائم والإعدادات'!$B$5)))</x:f>
      </x:c>
      <x:c r="M146" s="55" t="str">
        <x:f>IF(A146="","",K146*L146)</x:f>
      </x:c>
      <x:c r="N146" s="56"/>
      <x:c r="O146" s="56"/>
      <x:c r="P146" s="56"/>
      <x:c r="Q146" s="55" t="str">
        <x:f>IF(A146="","",MAX(0,M146-N146+O146))</x:f>
      </x:c>
      <x:c r="R146" s="55" t="str">
        <x:f>IF(A146="","",I146*'المخزون'!$L$6+J146*'المخزون'!$L$7)</x:f>
      </x:c>
      <x:c r="S146" s="55" t="str">
        <x:f>IF(A146="","",Q146-R146-P146)</x:f>
      </x:c>
      <x:c r="T146" s="41"/>
      <x:c r="U146" s="41"/>
      <x:c r="V146" s="56"/>
      <x:c r="W146" s="55" t="str">
        <x:f>IF(A146="","",MAX(0,Q146-V146))</x:f>
      </x:c>
      <x:c r="X146" s="41"/>
      <x:c r="Y146" s="41"/>
      <x:c r="Z146" s="48"/>
      <x:c r="AA146" s="48"/>
      <x:c r="AB146" s="41"/>
      <x:c r="AC146" s="41"/>
      <x:c r="AD146" s="41"/>
      <x:c r="AE146" s="48"/>
      <x:c r="AF146" s="41"/>
      <x:c r="AG146" s="58" t="str">
        <x:f>IF(A146="","",IFERROR(VLOOKUP(A146,'الفيدباك'!$C$7:$G$206,5,FALSE),""))</x:f>
      </x:c>
      <x:c r="AH146" s="42" t="str">
        <x:f>IF(A146="","",IFERROR(VLOOKUP(A146,'الفيدباك'!$C$7:$L$206,10,FALSE),""))</x:f>
      </x:c>
      <x:c r="AI146" s="41"/>
      <x:c r="AJ146" s="42" t="str">
        <x:f>IF(A146="","",IF(A146="مثال-احذفه","صف توضيحي - احذفه قبل البدء",IF(X146="","حدّث حالة الطلب",IF(AND(X146&lt;&gt;"تم التوصيل",X146&lt;&gt;"ملغي",X146&lt;&gt;"مرتجع",Z146&lt;&gt;"",Z146&lt;TODAY()),"متأخر عن موعد التوصيل",IF(AND(X146="تم التوصيل",W146&gt;0),"حصّل المبلغ المتبقي",IF(AND(X146="تم التوصيل",AD146="موافق",OR(AF146="",AF146="لم يُطلب")),"ابعت لينك الفيدباك",IF(AND(AF146="تم إرسال الرابط",AE146&lt;&gt;"",TODAY()-AE146&gt;=3),"تابع الفيدباك","لا يوجد إجراء عاجل")))))))</x:f>
      </x:c>
    </x:row>
    <x:row r="147" ht="31" customHeight="1">
      <x:c r="A147" s="41"/>
      <x:c r="B147" s="46"/>
      <x:c r="C147" s="41"/>
      <x:c r="D147" s="41"/>
      <x:c r="E147" s="50"/>
      <x:c r="F147" s="41"/>
      <x:c r="G147" s="41"/>
      <x:c r="H147" s="41"/>
      <x:c r="I147" s="52"/>
      <x:c r="J147" s="52"/>
      <x:c r="K147" s="53" t="str">
        <x:f>IF(A147="","",I147+J147)</x:f>
      </x:c>
      <x:c r="L147" s="55" t="str">
        <x:f>IF(A147="","",IF(H147="عرض 2 بـ120",'القوائم والإعدادات'!$B$6/2,IF(H147="عينة",0,'القوائم والإعدادات'!$B$5)))</x:f>
      </x:c>
      <x:c r="M147" s="55" t="str">
        <x:f>IF(A147="","",K147*L147)</x:f>
      </x:c>
      <x:c r="N147" s="56"/>
      <x:c r="O147" s="56"/>
      <x:c r="P147" s="56"/>
      <x:c r="Q147" s="55" t="str">
        <x:f>IF(A147="","",MAX(0,M147-N147+O147))</x:f>
      </x:c>
      <x:c r="R147" s="55" t="str">
        <x:f>IF(A147="","",I147*'المخزون'!$L$6+J147*'المخزون'!$L$7)</x:f>
      </x:c>
      <x:c r="S147" s="55" t="str">
        <x:f>IF(A147="","",Q147-R147-P147)</x:f>
      </x:c>
      <x:c r="T147" s="41"/>
      <x:c r="U147" s="41"/>
      <x:c r="V147" s="56"/>
      <x:c r="W147" s="55" t="str">
        <x:f>IF(A147="","",MAX(0,Q147-V147))</x:f>
      </x:c>
      <x:c r="X147" s="41"/>
      <x:c r="Y147" s="41"/>
      <x:c r="Z147" s="48"/>
      <x:c r="AA147" s="48"/>
      <x:c r="AB147" s="41"/>
      <x:c r="AC147" s="41"/>
      <x:c r="AD147" s="41"/>
      <x:c r="AE147" s="48"/>
      <x:c r="AF147" s="41"/>
      <x:c r="AG147" s="58" t="str">
        <x:f>IF(A147="","",IFERROR(VLOOKUP(A147,'الفيدباك'!$C$7:$G$206,5,FALSE),""))</x:f>
      </x:c>
      <x:c r="AH147" s="42" t="str">
        <x:f>IF(A147="","",IFERROR(VLOOKUP(A147,'الفيدباك'!$C$7:$L$206,10,FALSE),""))</x:f>
      </x:c>
      <x:c r="AI147" s="41"/>
      <x:c r="AJ147" s="42" t="str">
        <x:f>IF(A147="","",IF(A147="مثال-احذفه","صف توضيحي - احذفه قبل البدء",IF(X147="","حدّث حالة الطلب",IF(AND(X147&lt;&gt;"تم التوصيل",X147&lt;&gt;"ملغي",X147&lt;&gt;"مرتجع",Z147&lt;&gt;"",Z147&lt;TODAY()),"متأخر عن موعد التوصيل",IF(AND(X147="تم التوصيل",W147&gt;0),"حصّل المبلغ المتبقي",IF(AND(X147="تم التوصيل",AD147="موافق",OR(AF147="",AF147="لم يُطلب")),"ابعت لينك الفيدباك",IF(AND(AF147="تم إرسال الرابط",AE147&lt;&gt;"",TODAY()-AE147&gt;=3),"تابع الفيدباك","لا يوجد إجراء عاجل")))))))</x:f>
      </x:c>
    </x:row>
    <x:row r="148" ht="31" customHeight="1">
      <x:c r="A148" s="41"/>
      <x:c r="B148" s="46"/>
      <x:c r="C148" s="41"/>
      <x:c r="D148" s="41"/>
      <x:c r="E148" s="50"/>
      <x:c r="F148" s="41"/>
      <x:c r="G148" s="41"/>
      <x:c r="H148" s="41"/>
      <x:c r="I148" s="52"/>
      <x:c r="J148" s="52"/>
      <x:c r="K148" s="53" t="str">
        <x:f>IF(A148="","",I148+J148)</x:f>
      </x:c>
      <x:c r="L148" s="55" t="str">
        <x:f>IF(A148="","",IF(H148="عرض 2 بـ120",'القوائم والإعدادات'!$B$6/2,IF(H148="عينة",0,'القوائم والإعدادات'!$B$5)))</x:f>
      </x:c>
      <x:c r="M148" s="55" t="str">
        <x:f>IF(A148="","",K148*L148)</x:f>
      </x:c>
      <x:c r="N148" s="56"/>
      <x:c r="O148" s="56"/>
      <x:c r="P148" s="56"/>
      <x:c r="Q148" s="55" t="str">
        <x:f>IF(A148="","",MAX(0,M148-N148+O148))</x:f>
      </x:c>
      <x:c r="R148" s="55" t="str">
        <x:f>IF(A148="","",I148*'المخزون'!$L$6+J148*'المخزون'!$L$7)</x:f>
      </x:c>
      <x:c r="S148" s="55" t="str">
        <x:f>IF(A148="","",Q148-R148-P148)</x:f>
      </x:c>
      <x:c r="T148" s="41"/>
      <x:c r="U148" s="41"/>
      <x:c r="V148" s="56"/>
      <x:c r="W148" s="55" t="str">
        <x:f>IF(A148="","",MAX(0,Q148-V148))</x:f>
      </x:c>
      <x:c r="X148" s="41"/>
      <x:c r="Y148" s="41"/>
      <x:c r="Z148" s="48"/>
      <x:c r="AA148" s="48"/>
      <x:c r="AB148" s="41"/>
      <x:c r="AC148" s="41"/>
      <x:c r="AD148" s="41"/>
      <x:c r="AE148" s="48"/>
      <x:c r="AF148" s="41"/>
      <x:c r="AG148" s="58" t="str">
        <x:f>IF(A148="","",IFERROR(VLOOKUP(A148,'الفيدباك'!$C$7:$G$206,5,FALSE),""))</x:f>
      </x:c>
      <x:c r="AH148" s="42" t="str">
        <x:f>IF(A148="","",IFERROR(VLOOKUP(A148,'الفيدباك'!$C$7:$L$206,10,FALSE),""))</x:f>
      </x:c>
      <x:c r="AI148" s="41"/>
      <x:c r="AJ148" s="42" t="str">
        <x:f>IF(A148="","",IF(A148="مثال-احذفه","صف توضيحي - احذفه قبل البدء",IF(X148="","حدّث حالة الطلب",IF(AND(X148&lt;&gt;"تم التوصيل",X148&lt;&gt;"ملغي",X148&lt;&gt;"مرتجع",Z148&lt;&gt;"",Z148&lt;TODAY()),"متأخر عن موعد التوصيل",IF(AND(X148="تم التوصيل",W148&gt;0),"حصّل المبلغ المتبقي",IF(AND(X148="تم التوصيل",AD148="موافق",OR(AF148="",AF148="لم يُطلب")),"ابعت لينك الفيدباك",IF(AND(AF148="تم إرسال الرابط",AE148&lt;&gt;"",TODAY()-AE148&gt;=3),"تابع الفيدباك","لا يوجد إجراء عاجل")))))))</x:f>
      </x:c>
    </x:row>
    <x:row r="149" ht="31" customHeight="1">
      <x:c r="A149" s="41"/>
      <x:c r="B149" s="46"/>
      <x:c r="C149" s="41"/>
      <x:c r="D149" s="41"/>
      <x:c r="E149" s="50"/>
      <x:c r="F149" s="41"/>
      <x:c r="G149" s="41"/>
      <x:c r="H149" s="41"/>
      <x:c r="I149" s="52"/>
      <x:c r="J149" s="52"/>
      <x:c r="K149" s="53" t="str">
        <x:f>IF(A149="","",I149+J149)</x:f>
      </x:c>
      <x:c r="L149" s="55" t="str">
        <x:f>IF(A149="","",IF(H149="عرض 2 بـ120",'القوائم والإعدادات'!$B$6/2,IF(H149="عينة",0,'القوائم والإعدادات'!$B$5)))</x:f>
      </x:c>
      <x:c r="M149" s="55" t="str">
        <x:f>IF(A149="","",K149*L149)</x:f>
      </x:c>
      <x:c r="N149" s="56"/>
      <x:c r="O149" s="56"/>
      <x:c r="P149" s="56"/>
      <x:c r="Q149" s="55" t="str">
        <x:f>IF(A149="","",MAX(0,M149-N149+O149))</x:f>
      </x:c>
      <x:c r="R149" s="55" t="str">
        <x:f>IF(A149="","",I149*'المخزون'!$L$6+J149*'المخزون'!$L$7)</x:f>
      </x:c>
      <x:c r="S149" s="55" t="str">
        <x:f>IF(A149="","",Q149-R149-P149)</x:f>
      </x:c>
      <x:c r="T149" s="41"/>
      <x:c r="U149" s="41"/>
      <x:c r="V149" s="56"/>
      <x:c r="W149" s="55" t="str">
        <x:f>IF(A149="","",MAX(0,Q149-V149))</x:f>
      </x:c>
      <x:c r="X149" s="41"/>
      <x:c r="Y149" s="41"/>
      <x:c r="Z149" s="48"/>
      <x:c r="AA149" s="48"/>
      <x:c r="AB149" s="41"/>
      <x:c r="AC149" s="41"/>
      <x:c r="AD149" s="41"/>
      <x:c r="AE149" s="48"/>
      <x:c r="AF149" s="41"/>
      <x:c r="AG149" s="58" t="str">
        <x:f>IF(A149="","",IFERROR(VLOOKUP(A149,'الفيدباك'!$C$7:$G$206,5,FALSE),""))</x:f>
      </x:c>
      <x:c r="AH149" s="42" t="str">
        <x:f>IF(A149="","",IFERROR(VLOOKUP(A149,'الفيدباك'!$C$7:$L$206,10,FALSE),""))</x:f>
      </x:c>
      <x:c r="AI149" s="41"/>
      <x:c r="AJ149" s="42" t="str">
        <x:f>IF(A149="","",IF(A149="مثال-احذفه","صف توضيحي - احذفه قبل البدء",IF(X149="","حدّث حالة الطلب",IF(AND(X149&lt;&gt;"تم التوصيل",X149&lt;&gt;"ملغي",X149&lt;&gt;"مرتجع",Z149&lt;&gt;"",Z149&lt;TODAY()),"متأخر عن موعد التوصيل",IF(AND(X149="تم التوصيل",W149&gt;0),"حصّل المبلغ المتبقي",IF(AND(X149="تم التوصيل",AD149="موافق",OR(AF149="",AF149="لم يُطلب")),"ابعت لينك الفيدباك",IF(AND(AF149="تم إرسال الرابط",AE149&lt;&gt;"",TODAY()-AE149&gt;=3),"تابع الفيدباك","لا يوجد إجراء عاجل")))))))</x:f>
      </x:c>
    </x:row>
    <x:row r="150" ht="31" customHeight="1">
      <x:c r="A150" s="41"/>
      <x:c r="B150" s="46"/>
      <x:c r="C150" s="41"/>
      <x:c r="D150" s="41"/>
      <x:c r="E150" s="50"/>
      <x:c r="F150" s="41"/>
      <x:c r="G150" s="41"/>
      <x:c r="H150" s="41"/>
      <x:c r="I150" s="52"/>
      <x:c r="J150" s="52"/>
      <x:c r="K150" s="53" t="str">
        <x:f>IF(A150="","",I150+J150)</x:f>
      </x:c>
      <x:c r="L150" s="55" t="str">
        <x:f>IF(A150="","",IF(H150="عرض 2 بـ120",'القوائم والإعدادات'!$B$6/2,IF(H150="عينة",0,'القوائم والإعدادات'!$B$5)))</x:f>
      </x:c>
      <x:c r="M150" s="55" t="str">
        <x:f>IF(A150="","",K150*L150)</x:f>
      </x:c>
      <x:c r="N150" s="56"/>
      <x:c r="O150" s="56"/>
      <x:c r="P150" s="56"/>
      <x:c r="Q150" s="55" t="str">
        <x:f>IF(A150="","",MAX(0,M150-N150+O150))</x:f>
      </x:c>
      <x:c r="R150" s="55" t="str">
        <x:f>IF(A150="","",I150*'المخزون'!$L$6+J150*'المخزون'!$L$7)</x:f>
      </x:c>
      <x:c r="S150" s="55" t="str">
        <x:f>IF(A150="","",Q150-R150-P150)</x:f>
      </x:c>
      <x:c r="T150" s="41"/>
      <x:c r="U150" s="41"/>
      <x:c r="V150" s="56"/>
      <x:c r="W150" s="55" t="str">
        <x:f>IF(A150="","",MAX(0,Q150-V150))</x:f>
      </x:c>
      <x:c r="X150" s="41"/>
      <x:c r="Y150" s="41"/>
      <x:c r="Z150" s="48"/>
      <x:c r="AA150" s="48"/>
      <x:c r="AB150" s="41"/>
      <x:c r="AC150" s="41"/>
      <x:c r="AD150" s="41"/>
      <x:c r="AE150" s="48"/>
      <x:c r="AF150" s="41"/>
      <x:c r="AG150" s="58" t="str">
        <x:f>IF(A150="","",IFERROR(VLOOKUP(A150,'الفيدباك'!$C$7:$G$206,5,FALSE),""))</x:f>
      </x:c>
      <x:c r="AH150" s="42" t="str">
        <x:f>IF(A150="","",IFERROR(VLOOKUP(A150,'الفيدباك'!$C$7:$L$206,10,FALSE),""))</x:f>
      </x:c>
      <x:c r="AI150" s="41"/>
      <x:c r="AJ150" s="42" t="str">
        <x:f>IF(A150="","",IF(A150="مثال-احذفه","صف توضيحي - احذفه قبل البدء",IF(X150="","حدّث حالة الطلب",IF(AND(X150&lt;&gt;"تم التوصيل",X150&lt;&gt;"ملغي",X150&lt;&gt;"مرتجع",Z150&lt;&gt;"",Z150&lt;TODAY()),"متأخر عن موعد التوصيل",IF(AND(X150="تم التوصيل",W150&gt;0),"حصّل المبلغ المتبقي",IF(AND(X150="تم التوصيل",AD150="موافق",OR(AF150="",AF150="لم يُطلب")),"ابعت لينك الفيدباك",IF(AND(AF150="تم إرسال الرابط",AE150&lt;&gt;"",TODAY()-AE150&gt;=3),"تابع الفيدباك","لا يوجد إجراء عاجل")))))))</x:f>
      </x:c>
    </x:row>
    <x:row r="151" ht="31" customHeight="1">
      <x:c r="A151" s="41"/>
      <x:c r="B151" s="46"/>
      <x:c r="C151" s="41"/>
      <x:c r="D151" s="41"/>
      <x:c r="E151" s="50"/>
      <x:c r="F151" s="41"/>
      <x:c r="G151" s="41"/>
      <x:c r="H151" s="41"/>
      <x:c r="I151" s="52"/>
      <x:c r="J151" s="52"/>
      <x:c r="K151" s="53" t="str">
        <x:f>IF(A151="","",I151+J151)</x:f>
      </x:c>
      <x:c r="L151" s="55" t="str">
        <x:f>IF(A151="","",IF(H151="عرض 2 بـ120",'القوائم والإعدادات'!$B$6/2,IF(H151="عينة",0,'القوائم والإعدادات'!$B$5)))</x:f>
      </x:c>
      <x:c r="M151" s="55" t="str">
        <x:f>IF(A151="","",K151*L151)</x:f>
      </x:c>
      <x:c r="N151" s="56"/>
      <x:c r="O151" s="56"/>
      <x:c r="P151" s="56"/>
      <x:c r="Q151" s="55" t="str">
        <x:f>IF(A151="","",MAX(0,M151-N151+O151))</x:f>
      </x:c>
      <x:c r="R151" s="55" t="str">
        <x:f>IF(A151="","",I151*'المخزون'!$L$6+J151*'المخزون'!$L$7)</x:f>
      </x:c>
      <x:c r="S151" s="55" t="str">
        <x:f>IF(A151="","",Q151-R151-P151)</x:f>
      </x:c>
      <x:c r="T151" s="41"/>
      <x:c r="U151" s="41"/>
      <x:c r="V151" s="56"/>
      <x:c r="W151" s="55" t="str">
        <x:f>IF(A151="","",MAX(0,Q151-V151))</x:f>
      </x:c>
      <x:c r="X151" s="41"/>
      <x:c r="Y151" s="41"/>
      <x:c r="Z151" s="48"/>
      <x:c r="AA151" s="48"/>
      <x:c r="AB151" s="41"/>
      <x:c r="AC151" s="41"/>
      <x:c r="AD151" s="41"/>
      <x:c r="AE151" s="48"/>
      <x:c r="AF151" s="41"/>
      <x:c r="AG151" s="58" t="str">
        <x:f>IF(A151="","",IFERROR(VLOOKUP(A151,'الفيدباك'!$C$7:$G$206,5,FALSE),""))</x:f>
      </x:c>
      <x:c r="AH151" s="42" t="str">
        <x:f>IF(A151="","",IFERROR(VLOOKUP(A151,'الفيدباك'!$C$7:$L$206,10,FALSE),""))</x:f>
      </x:c>
      <x:c r="AI151" s="41"/>
      <x:c r="AJ151" s="42" t="str">
        <x:f>IF(A151="","",IF(A151="مثال-احذفه","صف توضيحي - احذفه قبل البدء",IF(X151="","حدّث حالة الطلب",IF(AND(X151&lt;&gt;"تم التوصيل",X151&lt;&gt;"ملغي",X151&lt;&gt;"مرتجع",Z151&lt;&gt;"",Z151&lt;TODAY()),"متأخر عن موعد التوصيل",IF(AND(X151="تم التوصيل",W151&gt;0),"حصّل المبلغ المتبقي",IF(AND(X151="تم التوصيل",AD151="موافق",OR(AF151="",AF151="لم يُطلب")),"ابعت لينك الفيدباك",IF(AND(AF151="تم إرسال الرابط",AE151&lt;&gt;"",TODAY()-AE151&gt;=3),"تابع الفيدباك","لا يوجد إجراء عاجل")))))))</x:f>
      </x:c>
    </x:row>
    <x:row r="152" ht="31" customHeight="1">
      <x:c r="A152" s="41"/>
      <x:c r="B152" s="46"/>
      <x:c r="C152" s="41"/>
      <x:c r="D152" s="41"/>
      <x:c r="E152" s="50"/>
      <x:c r="F152" s="41"/>
      <x:c r="G152" s="41"/>
      <x:c r="H152" s="41"/>
      <x:c r="I152" s="52"/>
      <x:c r="J152" s="52"/>
      <x:c r="K152" s="53" t="str">
        <x:f>IF(A152="","",I152+J152)</x:f>
      </x:c>
      <x:c r="L152" s="55" t="str">
        <x:f>IF(A152="","",IF(H152="عرض 2 بـ120",'القوائم والإعدادات'!$B$6/2,IF(H152="عينة",0,'القوائم والإعدادات'!$B$5)))</x:f>
      </x:c>
      <x:c r="M152" s="55" t="str">
        <x:f>IF(A152="","",K152*L152)</x:f>
      </x:c>
      <x:c r="N152" s="56"/>
      <x:c r="O152" s="56"/>
      <x:c r="P152" s="56"/>
      <x:c r="Q152" s="55" t="str">
        <x:f>IF(A152="","",MAX(0,M152-N152+O152))</x:f>
      </x:c>
      <x:c r="R152" s="55" t="str">
        <x:f>IF(A152="","",I152*'المخزون'!$L$6+J152*'المخزون'!$L$7)</x:f>
      </x:c>
      <x:c r="S152" s="55" t="str">
        <x:f>IF(A152="","",Q152-R152-P152)</x:f>
      </x:c>
      <x:c r="T152" s="41"/>
      <x:c r="U152" s="41"/>
      <x:c r="V152" s="56"/>
      <x:c r="W152" s="55" t="str">
        <x:f>IF(A152="","",MAX(0,Q152-V152))</x:f>
      </x:c>
      <x:c r="X152" s="41"/>
      <x:c r="Y152" s="41"/>
      <x:c r="Z152" s="48"/>
      <x:c r="AA152" s="48"/>
      <x:c r="AB152" s="41"/>
      <x:c r="AC152" s="41"/>
      <x:c r="AD152" s="41"/>
      <x:c r="AE152" s="48"/>
      <x:c r="AF152" s="41"/>
      <x:c r="AG152" s="58" t="str">
        <x:f>IF(A152="","",IFERROR(VLOOKUP(A152,'الفيدباك'!$C$7:$G$206,5,FALSE),""))</x:f>
      </x:c>
      <x:c r="AH152" s="42" t="str">
        <x:f>IF(A152="","",IFERROR(VLOOKUP(A152,'الفيدباك'!$C$7:$L$206,10,FALSE),""))</x:f>
      </x:c>
      <x:c r="AI152" s="41"/>
      <x:c r="AJ152" s="42" t="str">
        <x:f>IF(A152="","",IF(A152="مثال-احذفه","صف توضيحي - احذفه قبل البدء",IF(X152="","حدّث حالة الطلب",IF(AND(X152&lt;&gt;"تم التوصيل",X152&lt;&gt;"ملغي",X152&lt;&gt;"مرتجع",Z152&lt;&gt;"",Z152&lt;TODAY()),"متأخر عن موعد التوصيل",IF(AND(X152="تم التوصيل",W152&gt;0),"حصّل المبلغ المتبقي",IF(AND(X152="تم التوصيل",AD152="موافق",OR(AF152="",AF152="لم يُطلب")),"ابعت لينك الفيدباك",IF(AND(AF152="تم إرسال الرابط",AE152&lt;&gt;"",TODAY()-AE152&gt;=3),"تابع الفيدباك","لا يوجد إجراء عاجل")))))))</x:f>
      </x:c>
    </x:row>
    <x:row r="153" ht="31" customHeight="1">
      <x:c r="A153" s="41"/>
      <x:c r="B153" s="46"/>
      <x:c r="C153" s="41"/>
      <x:c r="D153" s="41"/>
      <x:c r="E153" s="50"/>
      <x:c r="F153" s="41"/>
      <x:c r="G153" s="41"/>
      <x:c r="H153" s="41"/>
      <x:c r="I153" s="52"/>
      <x:c r="J153" s="52"/>
      <x:c r="K153" s="53" t="str">
        <x:f>IF(A153="","",I153+J153)</x:f>
      </x:c>
      <x:c r="L153" s="55" t="str">
        <x:f>IF(A153="","",IF(H153="عرض 2 بـ120",'القوائم والإعدادات'!$B$6/2,IF(H153="عينة",0,'القوائم والإعدادات'!$B$5)))</x:f>
      </x:c>
      <x:c r="M153" s="55" t="str">
        <x:f>IF(A153="","",K153*L153)</x:f>
      </x:c>
      <x:c r="N153" s="56"/>
      <x:c r="O153" s="56"/>
      <x:c r="P153" s="56"/>
      <x:c r="Q153" s="55" t="str">
        <x:f>IF(A153="","",MAX(0,M153-N153+O153))</x:f>
      </x:c>
      <x:c r="R153" s="55" t="str">
        <x:f>IF(A153="","",I153*'المخزون'!$L$6+J153*'المخزون'!$L$7)</x:f>
      </x:c>
      <x:c r="S153" s="55" t="str">
        <x:f>IF(A153="","",Q153-R153-P153)</x:f>
      </x:c>
      <x:c r="T153" s="41"/>
      <x:c r="U153" s="41"/>
      <x:c r="V153" s="56"/>
      <x:c r="W153" s="55" t="str">
        <x:f>IF(A153="","",MAX(0,Q153-V153))</x:f>
      </x:c>
      <x:c r="X153" s="41"/>
      <x:c r="Y153" s="41"/>
      <x:c r="Z153" s="48"/>
      <x:c r="AA153" s="48"/>
      <x:c r="AB153" s="41"/>
      <x:c r="AC153" s="41"/>
      <x:c r="AD153" s="41"/>
      <x:c r="AE153" s="48"/>
      <x:c r="AF153" s="41"/>
      <x:c r="AG153" s="58" t="str">
        <x:f>IF(A153="","",IFERROR(VLOOKUP(A153,'الفيدباك'!$C$7:$G$206,5,FALSE),""))</x:f>
      </x:c>
      <x:c r="AH153" s="42" t="str">
        <x:f>IF(A153="","",IFERROR(VLOOKUP(A153,'الفيدباك'!$C$7:$L$206,10,FALSE),""))</x:f>
      </x:c>
      <x:c r="AI153" s="41"/>
      <x:c r="AJ153" s="42" t="str">
        <x:f>IF(A153="","",IF(A153="مثال-احذفه","صف توضيحي - احذفه قبل البدء",IF(X153="","حدّث حالة الطلب",IF(AND(X153&lt;&gt;"تم التوصيل",X153&lt;&gt;"ملغي",X153&lt;&gt;"مرتجع",Z153&lt;&gt;"",Z153&lt;TODAY()),"متأخر عن موعد التوصيل",IF(AND(X153="تم التوصيل",W153&gt;0),"حصّل المبلغ المتبقي",IF(AND(X153="تم التوصيل",AD153="موافق",OR(AF153="",AF153="لم يُطلب")),"ابعت لينك الفيدباك",IF(AND(AF153="تم إرسال الرابط",AE153&lt;&gt;"",TODAY()-AE153&gt;=3),"تابع الفيدباك","لا يوجد إجراء عاجل")))))))</x:f>
      </x:c>
    </x:row>
    <x:row r="154" ht="31" customHeight="1">
      <x:c r="A154" s="41"/>
      <x:c r="B154" s="46"/>
      <x:c r="C154" s="41"/>
      <x:c r="D154" s="41"/>
      <x:c r="E154" s="50"/>
      <x:c r="F154" s="41"/>
      <x:c r="G154" s="41"/>
      <x:c r="H154" s="41"/>
      <x:c r="I154" s="52"/>
      <x:c r="J154" s="52"/>
      <x:c r="K154" s="53" t="str">
        <x:f>IF(A154="","",I154+J154)</x:f>
      </x:c>
      <x:c r="L154" s="55" t="str">
        <x:f>IF(A154="","",IF(H154="عرض 2 بـ120",'القوائم والإعدادات'!$B$6/2,IF(H154="عينة",0,'القوائم والإعدادات'!$B$5)))</x:f>
      </x:c>
      <x:c r="M154" s="55" t="str">
        <x:f>IF(A154="","",K154*L154)</x:f>
      </x:c>
      <x:c r="N154" s="56"/>
      <x:c r="O154" s="56"/>
      <x:c r="P154" s="56"/>
      <x:c r="Q154" s="55" t="str">
        <x:f>IF(A154="","",MAX(0,M154-N154+O154))</x:f>
      </x:c>
      <x:c r="R154" s="55" t="str">
        <x:f>IF(A154="","",I154*'المخزون'!$L$6+J154*'المخزون'!$L$7)</x:f>
      </x:c>
      <x:c r="S154" s="55" t="str">
        <x:f>IF(A154="","",Q154-R154-P154)</x:f>
      </x:c>
      <x:c r="T154" s="41"/>
      <x:c r="U154" s="41"/>
      <x:c r="V154" s="56"/>
      <x:c r="W154" s="55" t="str">
        <x:f>IF(A154="","",MAX(0,Q154-V154))</x:f>
      </x:c>
      <x:c r="X154" s="41"/>
      <x:c r="Y154" s="41"/>
      <x:c r="Z154" s="48"/>
      <x:c r="AA154" s="48"/>
      <x:c r="AB154" s="41"/>
      <x:c r="AC154" s="41"/>
      <x:c r="AD154" s="41"/>
      <x:c r="AE154" s="48"/>
      <x:c r="AF154" s="41"/>
      <x:c r="AG154" s="58" t="str">
        <x:f>IF(A154="","",IFERROR(VLOOKUP(A154,'الفيدباك'!$C$7:$G$206,5,FALSE),""))</x:f>
      </x:c>
      <x:c r="AH154" s="42" t="str">
        <x:f>IF(A154="","",IFERROR(VLOOKUP(A154,'الفيدباك'!$C$7:$L$206,10,FALSE),""))</x:f>
      </x:c>
      <x:c r="AI154" s="41"/>
      <x:c r="AJ154" s="42" t="str">
        <x:f>IF(A154="","",IF(A154="مثال-احذفه","صف توضيحي - احذفه قبل البدء",IF(X154="","حدّث حالة الطلب",IF(AND(X154&lt;&gt;"تم التوصيل",X154&lt;&gt;"ملغي",X154&lt;&gt;"مرتجع",Z154&lt;&gt;"",Z154&lt;TODAY()),"متأخر عن موعد التوصيل",IF(AND(X154="تم التوصيل",W154&gt;0),"حصّل المبلغ المتبقي",IF(AND(X154="تم التوصيل",AD154="موافق",OR(AF154="",AF154="لم يُطلب")),"ابعت لينك الفيدباك",IF(AND(AF154="تم إرسال الرابط",AE154&lt;&gt;"",TODAY()-AE154&gt;=3),"تابع الفيدباك","لا يوجد إجراء عاجل")))))))</x:f>
      </x:c>
    </x:row>
    <x:row r="155" ht="31" customHeight="1">
      <x:c r="A155" s="41"/>
      <x:c r="B155" s="46"/>
      <x:c r="C155" s="41"/>
      <x:c r="D155" s="41"/>
      <x:c r="E155" s="50"/>
      <x:c r="F155" s="41"/>
      <x:c r="G155" s="41"/>
      <x:c r="H155" s="41"/>
      <x:c r="I155" s="52"/>
      <x:c r="J155" s="52"/>
      <x:c r="K155" s="53" t="str">
        <x:f>IF(A155="","",I155+J155)</x:f>
      </x:c>
      <x:c r="L155" s="55" t="str">
        <x:f>IF(A155="","",IF(H155="عرض 2 بـ120",'القوائم والإعدادات'!$B$6/2,IF(H155="عينة",0,'القوائم والإعدادات'!$B$5)))</x:f>
      </x:c>
      <x:c r="M155" s="55" t="str">
        <x:f>IF(A155="","",K155*L155)</x:f>
      </x:c>
      <x:c r="N155" s="56"/>
      <x:c r="O155" s="56"/>
      <x:c r="P155" s="56"/>
      <x:c r="Q155" s="55" t="str">
        <x:f>IF(A155="","",MAX(0,M155-N155+O155))</x:f>
      </x:c>
      <x:c r="R155" s="55" t="str">
        <x:f>IF(A155="","",I155*'المخزون'!$L$6+J155*'المخزون'!$L$7)</x:f>
      </x:c>
      <x:c r="S155" s="55" t="str">
        <x:f>IF(A155="","",Q155-R155-P155)</x:f>
      </x:c>
      <x:c r="T155" s="41"/>
      <x:c r="U155" s="41"/>
      <x:c r="V155" s="56"/>
      <x:c r="W155" s="55" t="str">
        <x:f>IF(A155="","",MAX(0,Q155-V155))</x:f>
      </x:c>
      <x:c r="X155" s="41"/>
      <x:c r="Y155" s="41"/>
      <x:c r="Z155" s="48"/>
      <x:c r="AA155" s="48"/>
      <x:c r="AB155" s="41"/>
      <x:c r="AC155" s="41"/>
      <x:c r="AD155" s="41"/>
      <x:c r="AE155" s="48"/>
      <x:c r="AF155" s="41"/>
      <x:c r="AG155" s="58" t="str">
        <x:f>IF(A155="","",IFERROR(VLOOKUP(A155,'الفيدباك'!$C$7:$G$206,5,FALSE),""))</x:f>
      </x:c>
      <x:c r="AH155" s="42" t="str">
        <x:f>IF(A155="","",IFERROR(VLOOKUP(A155,'الفيدباك'!$C$7:$L$206,10,FALSE),""))</x:f>
      </x:c>
      <x:c r="AI155" s="41"/>
      <x:c r="AJ155" s="42" t="str">
        <x:f>IF(A155="","",IF(A155="مثال-احذفه","صف توضيحي - احذفه قبل البدء",IF(X155="","حدّث حالة الطلب",IF(AND(X155&lt;&gt;"تم التوصيل",X155&lt;&gt;"ملغي",X155&lt;&gt;"مرتجع",Z155&lt;&gt;"",Z155&lt;TODAY()),"متأخر عن موعد التوصيل",IF(AND(X155="تم التوصيل",W155&gt;0),"حصّل المبلغ المتبقي",IF(AND(X155="تم التوصيل",AD155="موافق",OR(AF155="",AF155="لم يُطلب")),"ابعت لينك الفيدباك",IF(AND(AF155="تم إرسال الرابط",AE155&lt;&gt;"",TODAY()-AE155&gt;=3),"تابع الفيدباك","لا يوجد إجراء عاجل")))))))</x:f>
      </x:c>
    </x:row>
    <x:row r="156" ht="31" customHeight="1">
      <x:c r="A156" s="41"/>
      <x:c r="B156" s="46"/>
      <x:c r="C156" s="41"/>
      <x:c r="D156" s="41"/>
      <x:c r="E156" s="50"/>
      <x:c r="F156" s="41"/>
      <x:c r="G156" s="41"/>
      <x:c r="H156" s="41"/>
      <x:c r="I156" s="52"/>
      <x:c r="J156" s="52"/>
      <x:c r="K156" s="53" t="str">
        <x:f>IF(A156="","",I156+J156)</x:f>
      </x:c>
      <x:c r="L156" s="55" t="str">
        <x:f>IF(A156="","",IF(H156="عرض 2 بـ120",'القوائم والإعدادات'!$B$6/2,IF(H156="عينة",0,'القوائم والإعدادات'!$B$5)))</x:f>
      </x:c>
      <x:c r="M156" s="55" t="str">
        <x:f>IF(A156="","",K156*L156)</x:f>
      </x:c>
      <x:c r="N156" s="56"/>
      <x:c r="O156" s="56"/>
      <x:c r="P156" s="56"/>
      <x:c r="Q156" s="55" t="str">
        <x:f>IF(A156="","",MAX(0,M156-N156+O156))</x:f>
      </x:c>
      <x:c r="R156" s="55" t="str">
        <x:f>IF(A156="","",I156*'المخزون'!$L$6+J156*'المخزون'!$L$7)</x:f>
      </x:c>
      <x:c r="S156" s="55" t="str">
        <x:f>IF(A156="","",Q156-R156-P156)</x:f>
      </x:c>
      <x:c r="T156" s="41"/>
      <x:c r="U156" s="41"/>
      <x:c r="V156" s="56"/>
      <x:c r="W156" s="55" t="str">
        <x:f>IF(A156="","",MAX(0,Q156-V156))</x:f>
      </x:c>
      <x:c r="X156" s="41"/>
      <x:c r="Y156" s="41"/>
      <x:c r="Z156" s="48"/>
      <x:c r="AA156" s="48"/>
      <x:c r="AB156" s="41"/>
      <x:c r="AC156" s="41"/>
      <x:c r="AD156" s="41"/>
      <x:c r="AE156" s="48"/>
      <x:c r="AF156" s="41"/>
      <x:c r="AG156" s="58" t="str">
        <x:f>IF(A156="","",IFERROR(VLOOKUP(A156,'الفيدباك'!$C$7:$G$206,5,FALSE),""))</x:f>
      </x:c>
      <x:c r="AH156" s="42" t="str">
        <x:f>IF(A156="","",IFERROR(VLOOKUP(A156,'الفيدباك'!$C$7:$L$206,10,FALSE),""))</x:f>
      </x:c>
      <x:c r="AI156" s="41"/>
      <x:c r="AJ156" s="42" t="str">
        <x:f>IF(A156="","",IF(A156="مثال-احذفه","صف توضيحي - احذفه قبل البدء",IF(X156="","حدّث حالة الطلب",IF(AND(X156&lt;&gt;"تم التوصيل",X156&lt;&gt;"ملغي",X156&lt;&gt;"مرتجع",Z156&lt;&gt;"",Z156&lt;TODAY()),"متأخر عن موعد التوصيل",IF(AND(X156="تم التوصيل",W156&gt;0),"حصّل المبلغ المتبقي",IF(AND(X156="تم التوصيل",AD156="موافق",OR(AF156="",AF156="لم يُطلب")),"ابعت لينك الفيدباك",IF(AND(AF156="تم إرسال الرابط",AE156&lt;&gt;"",TODAY()-AE156&gt;=3),"تابع الفيدباك","لا يوجد إجراء عاجل")))))))</x:f>
      </x:c>
    </x:row>
    <x:row r="157" ht="31" customHeight="1">
      <x:c r="A157" s="41"/>
      <x:c r="B157" s="46"/>
      <x:c r="C157" s="41"/>
      <x:c r="D157" s="41"/>
      <x:c r="E157" s="50"/>
      <x:c r="F157" s="41"/>
      <x:c r="G157" s="41"/>
      <x:c r="H157" s="41"/>
      <x:c r="I157" s="52"/>
      <x:c r="J157" s="52"/>
      <x:c r="K157" s="53" t="str">
        <x:f>IF(A157="","",I157+J157)</x:f>
      </x:c>
      <x:c r="L157" s="55" t="str">
        <x:f>IF(A157="","",IF(H157="عرض 2 بـ120",'القوائم والإعدادات'!$B$6/2,IF(H157="عينة",0,'القوائم والإعدادات'!$B$5)))</x:f>
      </x:c>
      <x:c r="M157" s="55" t="str">
        <x:f>IF(A157="","",K157*L157)</x:f>
      </x:c>
      <x:c r="N157" s="56"/>
      <x:c r="O157" s="56"/>
      <x:c r="P157" s="56"/>
      <x:c r="Q157" s="55" t="str">
        <x:f>IF(A157="","",MAX(0,M157-N157+O157))</x:f>
      </x:c>
      <x:c r="R157" s="55" t="str">
        <x:f>IF(A157="","",I157*'المخزون'!$L$6+J157*'المخزون'!$L$7)</x:f>
      </x:c>
      <x:c r="S157" s="55" t="str">
        <x:f>IF(A157="","",Q157-R157-P157)</x:f>
      </x:c>
      <x:c r="T157" s="41"/>
      <x:c r="U157" s="41"/>
      <x:c r="V157" s="56"/>
      <x:c r="W157" s="55" t="str">
        <x:f>IF(A157="","",MAX(0,Q157-V157))</x:f>
      </x:c>
      <x:c r="X157" s="41"/>
      <x:c r="Y157" s="41"/>
      <x:c r="Z157" s="48"/>
      <x:c r="AA157" s="48"/>
      <x:c r="AB157" s="41"/>
      <x:c r="AC157" s="41"/>
      <x:c r="AD157" s="41"/>
      <x:c r="AE157" s="48"/>
      <x:c r="AF157" s="41"/>
      <x:c r="AG157" s="58" t="str">
        <x:f>IF(A157="","",IFERROR(VLOOKUP(A157,'الفيدباك'!$C$7:$G$206,5,FALSE),""))</x:f>
      </x:c>
      <x:c r="AH157" s="42" t="str">
        <x:f>IF(A157="","",IFERROR(VLOOKUP(A157,'الفيدباك'!$C$7:$L$206,10,FALSE),""))</x:f>
      </x:c>
      <x:c r="AI157" s="41"/>
      <x:c r="AJ157" s="42" t="str">
        <x:f>IF(A157="","",IF(A157="مثال-احذفه","صف توضيحي - احذفه قبل البدء",IF(X157="","حدّث حالة الطلب",IF(AND(X157&lt;&gt;"تم التوصيل",X157&lt;&gt;"ملغي",X157&lt;&gt;"مرتجع",Z157&lt;&gt;"",Z157&lt;TODAY()),"متأخر عن موعد التوصيل",IF(AND(X157="تم التوصيل",W157&gt;0),"حصّل المبلغ المتبقي",IF(AND(X157="تم التوصيل",AD157="موافق",OR(AF157="",AF157="لم يُطلب")),"ابعت لينك الفيدباك",IF(AND(AF157="تم إرسال الرابط",AE157&lt;&gt;"",TODAY()-AE157&gt;=3),"تابع الفيدباك","لا يوجد إجراء عاجل")))))))</x:f>
      </x:c>
    </x:row>
    <x:row r="158" ht="31" customHeight="1">
      <x:c r="A158" s="41"/>
      <x:c r="B158" s="46"/>
      <x:c r="C158" s="41"/>
      <x:c r="D158" s="41"/>
      <x:c r="E158" s="50"/>
      <x:c r="F158" s="41"/>
      <x:c r="G158" s="41"/>
      <x:c r="H158" s="41"/>
      <x:c r="I158" s="52"/>
      <x:c r="J158" s="52"/>
      <x:c r="K158" s="53" t="str">
        <x:f>IF(A158="","",I158+J158)</x:f>
      </x:c>
      <x:c r="L158" s="55" t="str">
        <x:f>IF(A158="","",IF(H158="عرض 2 بـ120",'القوائم والإعدادات'!$B$6/2,IF(H158="عينة",0,'القوائم والإعدادات'!$B$5)))</x:f>
      </x:c>
      <x:c r="M158" s="55" t="str">
        <x:f>IF(A158="","",K158*L158)</x:f>
      </x:c>
      <x:c r="N158" s="56"/>
      <x:c r="O158" s="56"/>
      <x:c r="P158" s="56"/>
      <x:c r="Q158" s="55" t="str">
        <x:f>IF(A158="","",MAX(0,M158-N158+O158))</x:f>
      </x:c>
      <x:c r="R158" s="55" t="str">
        <x:f>IF(A158="","",I158*'المخزون'!$L$6+J158*'المخزون'!$L$7)</x:f>
      </x:c>
      <x:c r="S158" s="55" t="str">
        <x:f>IF(A158="","",Q158-R158-P158)</x:f>
      </x:c>
      <x:c r="T158" s="41"/>
      <x:c r="U158" s="41"/>
      <x:c r="V158" s="56"/>
      <x:c r="W158" s="55" t="str">
        <x:f>IF(A158="","",MAX(0,Q158-V158))</x:f>
      </x:c>
      <x:c r="X158" s="41"/>
      <x:c r="Y158" s="41"/>
      <x:c r="Z158" s="48"/>
      <x:c r="AA158" s="48"/>
      <x:c r="AB158" s="41"/>
      <x:c r="AC158" s="41"/>
      <x:c r="AD158" s="41"/>
      <x:c r="AE158" s="48"/>
      <x:c r="AF158" s="41"/>
      <x:c r="AG158" s="58" t="str">
        <x:f>IF(A158="","",IFERROR(VLOOKUP(A158,'الفيدباك'!$C$7:$G$206,5,FALSE),""))</x:f>
      </x:c>
      <x:c r="AH158" s="42" t="str">
        <x:f>IF(A158="","",IFERROR(VLOOKUP(A158,'الفيدباك'!$C$7:$L$206,10,FALSE),""))</x:f>
      </x:c>
      <x:c r="AI158" s="41"/>
      <x:c r="AJ158" s="42" t="str">
        <x:f>IF(A158="","",IF(A158="مثال-احذفه","صف توضيحي - احذفه قبل البدء",IF(X158="","حدّث حالة الطلب",IF(AND(X158&lt;&gt;"تم التوصيل",X158&lt;&gt;"ملغي",X158&lt;&gt;"مرتجع",Z158&lt;&gt;"",Z158&lt;TODAY()),"متأخر عن موعد التوصيل",IF(AND(X158="تم التوصيل",W158&gt;0),"حصّل المبلغ المتبقي",IF(AND(X158="تم التوصيل",AD158="موافق",OR(AF158="",AF158="لم يُطلب")),"ابعت لينك الفيدباك",IF(AND(AF158="تم إرسال الرابط",AE158&lt;&gt;"",TODAY()-AE158&gt;=3),"تابع الفيدباك","لا يوجد إجراء عاجل")))))))</x:f>
      </x:c>
    </x:row>
    <x:row r="159" ht="31" customHeight="1">
      <x:c r="A159" s="41"/>
      <x:c r="B159" s="46"/>
      <x:c r="C159" s="41"/>
      <x:c r="D159" s="41"/>
      <x:c r="E159" s="50"/>
      <x:c r="F159" s="41"/>
      <x:c r="G159" s="41"/>
      <x:c r="H159" s="41"/>
      <x:c r="I159" s="52"/>
      <x:c r="J159" s="52"/>
      <x:c r="K159" s="53" t="str">
        <x:f>IF(A159="","",I159+J159)</x:f>
      </x:c>
      <x:c r="L159" s="55" t="str">
        <x:f>IF(A159="","",IF(H159="عرض 2 بـ120",'القوائم والإعدادات'!$B$6/2,IF(H159="عينة",0,'القوائم والإعدادات'!$B$5)))</x:f>
      </x:c>
      <x:c r="M159" s="55" t="str">
        <x:f>IF(A159="","",K159*L159)</x:f>
      </x:c>
      <x:c r="N159" s="56"/>
      <x:c r="O159" s="56"/>
      <x:c r="P159" s="56"/>
      <x:c r="Q159" s="55" t="str">
        <x:f>IF(A159="","",MAX(0,M159-N159+O159))</x:f>
      </x:c>
      <x:c r="R159" s="55" t="str">
        <x:f>IF(A159="","",I159*'المخزون'!$L$6+J159*'المخزون'!$L$7)</x:f>
      </x:c>
      <x:c r="S159" s="55" t="str">
        <x:f>IF(A159="","",Q159-R159-P159)</x:f>
      </x:c>
      <x:c r="T159" s="41"/>
      <x:c r="U159" s="41"/>
      <x:c r="V159" s="56"/>
      <x:c r="W159" s="55" t="str">
        <x:f>IF(A159="","",MAX(0,Q159-V159))</x:f>
      </x:c>
      <x:c r="X159" s="41"/>
      <x:c r="Y159" s="41"/>
      <x:c r="Z159" s="48"/>
      <x:c r="AA159" s="48"/>
      <x:c r="AB159" s="41"/>
      <x:c r="AC159" s="41"/>
      <x:c r="AD159" s="41"/>
      <x:c r="AE159" s="48"/>
      <x:c r="AF159" s="41"/>
      <x:c r="AG159" s="58" t="str">
        <x:f>IF(A159="","",IFERROR(VLOOKUP(A159,'الفيدباك'!$C$7:$G$206,5,FALSE),""))</x:f>
      </x:c>
      <x:c r="AH159" s="42" t="str">
        <x:f>IF(A159="","",IFERROR(VLOOKUP(A159,'الفيدباك'!$C$7:$L$206,10,FALSE),""))</x:f>
      </x:c>
      <x:c r="AI159" s="41"/>
      <x:c r="AJ159" s="42" t="str">
        <x:f>IF(A159="","",IF(A159="مثال-احذفه","صف توضيحي - احذفه قبل البدء",IF(X159="","حدّث حالة الطلب",IF(AND(X159&lt;&gt;"تم التوصيل",X159&lt;&gt;"ملغي",X159&lt;&gt;"مرتجع",Z159&lt;&gt;"",Z159&lt;TODAY()),"متأخر عن موعد التوصيل",IF(AND(X159="تم التوصيل",W159&gt;0),"حصّل المبلغ المتبقي",IF(AND(X159="تم التوصيل",AD159="موافق",OR(AF159="",AF159="لم يُطلب")),"ابعت لينك الفيدباك",IF(AND(AF159="تم إرسال الرابط",AE159&lt;&gt;"",TODAY()-AE159&gt;=3),"تابع الفيدباك","لا يوجد إجراء عاجل")))))))</x:f>
      </x:c>
    </x:row>
    <x:row r="160" ht="31" customHeight="1">
      <x:c r="A160" s="41"/>
      <x:c r="B160" s="46"/>
      <x:c r="C160" s="41"/>
      <x:c r="D160" s="41"/>
      <x:c r="E160" s="50"/>
      <x:c r="F160" s="41"/>
      <x:c r="G160" s="41"/>
      <x:c r="H160" s="41"/>
      <x:c r="I160" s="52"/>
      <x:c r="J160" s="52"/>
      <x:c r="K160" s="53" t="str">
        <x:f>IF(A160="","",I160+J160)</x:f>
      </x:c>
      <x:c r="L160" s="55" t="str">
        <x:f>IF(A160="","",IF(H160="عرض 2 بـ120",'القوائم والإعدادات'!$B$6/2,IF(H160="عينة",0,'القوائم والإعدادات'!$B$5)))</x:f>
      </x:c>
      <x:c r="M160" s="55" t="str">
        <x:f>IF(A160="","",K160*L160)</x:f>
      </x:c>
      <x:c r="N160" s="56"/>
      <x:c r="O160" s="56"/>
      <x:c r="P160" s="56"/>
      <x:c r="Q160" s="55" t="str">
        <x:f>IF(A160="","",MAX(0,M160-N160+O160))</x:f>
      </x:c>
      <x:c r="R160" s="55" t="str">
        <x:f>IF(A160="","",I160*'المخزون'!$L$6+J160*'المخزون'!$L$7)</x:f>
      </x:c>
      <x:c r="S160" s="55" t="str">
        <x:f>IF(A160="","",Q160-R160-P160)</x:f>
      </x:c>
      <x:c r="T160" s="41"/>
      <x:c r="U160" s="41"/>
      <x:c r="V160" s="56"/>
      <x:c r="W160" s="55" t="str">
        <x:f>IF(A160="","",MAX(0,Q160-V160))</x:f>
      </x:c>
      <x:c r="X160" s="41"/>
      <x:c r="Y160" s="41"/>
      <x:c r="Z160" s="48"/>
      <x:c r="AA160" s="48"/>
      <x:c r="AB160" s="41"/>
      <x:c r="AC160" s="41"/>
      <x:c r="AD160" s="41"/>
      <x:c r="AE160" s="48"/>
      <x:c r="AF160" s="41"/>
      <x:c r="AG160" s="58" t="str">
        <x:f>IF(A160="","",IFERROR(VLOOKUP(A160,'الفيدباك'!$C$7:$G$206,5,FALSE),""))</x:f>
      </x:c>
      <x:c r="AH160" s="42" t="str">
        <x:f>IF(A160="","",IFERROR(VLOOKUP(A160,'الفيدباك'!$C$7:$L$206,10,FALSE),""))</x:f>
      </x:c>
      <x:c r="AI160" s="41"/>
      <x:c r="AJ160" s="42" t="str">
        <x:f>IF(A160="","",IF(A160="مثال-احذفه","صف توضيحي - احذفه قبل البدء",IF(X160="","حدّث حالة الطلب",IF(AND(X160&lt;&gt;"تم التوصيل",X160&lt;&gt;"ملغي",X160&lt;&gt;"مرتجع",Z160&lt;&gt;"",Z160&lt;TODAY()),"متأخر عن موعد التوصيل",IF(AND(X160="تم التوصيل",W160&gt;0),"حصّل المبلغ المتبقي",IF(AND(X160="تم التوصيل",AD160="موافق",OR(AF160="",AF160="لم يُطلب")),"ابعت لينك الفيدباك",IF(AND(AF160="تم إرسال الرابط",AE160&lt;&gt;"",TODAY()-AE160&gt;=3),"تابع الفيدباك","لا يوجد إجراء عاجل")))))))</x:f>
      </x:c>
    </x:row>
    <x:row r="161" ht="31" customHeight="1">
      <x:c r="A161" s="41"/>
      <x:c r="B161" s="46"/>
      <x:c r="C161" s="41"/>
      <x:c r="D161" s="41"/>
      <x:c r="E161" s="50"/>
      <x:c r="F161" s="41"/>
      <x:c r="G161" s="41"/>
      <x:c r="H161" s="41"/>
      <x:c r="I161" s="52"/>
      <x:c r="J161" s="52"/>
      <x:c r="K161" s="53" t="str">
        <x:f>IF(A161="","",I161+J161)</x:f>
      </x:c>
      <x:c r="L161" s="55" t="str">
        <x:f>IF(A161="","",IF(H161="عرض 2 بـ120",'القوائم والإعدادات'!$B$6/2,IF(H161="عينة",0,'القوائم والإعدادات'!$B$5)))</x:f>
      </x:c>
      <x:c r="M161" s="55" t="str">
        <x:f>IF(A161="","",K161*L161)</x:f>
      </x:c>
      <x:c r="N161" s="56"/>
      <x:c r="O161" s="56"/>
      <x:c r="P161" s="56"/>
      <x:c r="Q161" s="55" t="str">
        <x:f>IF(A161="","",MAX(0,M161-N161+O161))</x:f>
      </x:c>
      <x:c r="R161" s="55" t="str">
        <x:f>IF(A161="","",I161*'المخزون'!$L$6+J161*'المخزون'!$L$7)</x:f>
      </x:c>
      <x:c r="S161" s="55" t="str">
        <x:f>IF(A161="","",Q161-R161-P161)</x:f>
      </x:c>
      <x:c r="T161" s="41"/>
      <x:c r="U161" s="41"/>
      <x:c r="V161" s="56"/>
      <x:c r="W161" s="55" t="str">
        <x:f>IF(A161="","",MAX(0,Q161-V161))</x:f>
      </x:c>
      <x:c r="X161" s="41"/>
      <x:c r="Y161" s="41"/>
      <x:c r="Z161" s="48"/>
      <x:c r="AA161" s="48"/>
      <x:c r="AB161" s="41"/>
      <x:c r="AC161" s="41"/>
      <x:c r="AD161" s="41"/>
      <x:c r="AE161" s="48"/>
      <x:c r="AF161" s="41"/>
      <x:c r="AG161" s="58" t="str">
        <x:f>IF(A161="","",IFERROR(VLOOKUP(A161,'الفيدباك'!$C$7:$G$206,5,FALSE),""))</x:f>
      </x:c>
      <x:c r="AH161" s="42" t="str">
        <x:f>IF(A161="","",IFERROR(VLOOKUP(A161,'الفيدباك'!$C$7:$L$206,10,FALSE),""))</x:f>
      </x:c>
      <x:c r="AI161" s="41"/>
      <x:c r="AJ161" s="42" t="str">
        <x:f>IF(A161="","",IF(A161="مثال-احذفه","صف توضيحي - احذفه قبل البدء",IF(X161="","حدّث حالة الطلب",IF(AND(X161&lt;&gt;"تم التوصيل",X161&lt;&gt;"ملغي",X161&lt;&gt;"مرتجع",Z161&lt;&gt;"",Z161&lt;TODAY()),"متأخر عن موعد التوصيل",IF(AND(X161="تم التوصيل",W161&gt;0),"حصّل المبلغ المتبقي",IF(AND(X161="تم التوصيل",AD161="موافق",OR(AF161="",AF161="لم يُطلب")),"ابعت لينك الفيدباك",IF(AND(AF161="تم إرسال الرابط",AE161&lt;&gt;"",TODAY()-AE161&gt;=3),"تابع الفيدباك","لا يوجد إجراء عاجل")))))))</x:f>
      </x:c>
    </x:row>
    <x:row r="162" ht="31" customHeight="1">
      <x:c r="A162" s="41"/>
      <x:c r="B162" s="46"/>
      <x:c r="C162" s="41"/>
      <x:c r="D162" s="41"/>
      <x:c r="E162" s="50"/>
      <x:c r="F162" s="41"/>
      <x:c r="G162" s="41"/>
      <x:c r="H162" s="41"/>
      <x:c r="I162" s="52"/>
      <x:c r="J162" s="52"/>
      <x:c r="K162" s="53" t="str">
        <x:f>IF(A162="","",I162+J162)</x:f>
      </x:c>
      <x:c r="L162" s="55" t="str">
        <x:f>IF(A162="","",IF(H162="عرض 2 بـ120",'القوائم والإعدادات'!$B$6/2,IF(H162="عينة",0,'القوائم والإعدادات'!$B$5)))</x:f>
      </x:c>
      <x:c r="M162" s="55" t="str">
        <x:f>IF(A162="","",K162*L162)</x:f>
      </x:c>
      <x:c r="N162" s="56"/>
      <x:c r="O162" s="56"/>
      <x:c r="P162" s="56"/>
      <x:c r="Q162" s="55" t="str">
        <x:f>IF(A162="","",MAX(0,M162-N162+O162))</x:f>
      </x:c>
      <x:c r="R162" s="55" t="str">
        <x:f>IF(A162="","",I162*'المخزون'!$L$6+J162*'المخزون'!$L$7)</x:f>
      </x:c>
      <x:c r="S162" s="55" t="str">
        <x:f>IF(A162="","",Q162-R162-P162)</x:f>
      </x:c>
      <x:c r="T162" s="41"/>
      <x:c r="U162" s="41"/>
      <x:c r="V162" s="56"/>
      <x:c r="W162" s="55" t="str">
        <x:f>IF(A162="","",MAX(0,Q162-V162))</x:f>
      </x:c>
      <x:c r="X162" s="41"/>
      <x:c r="Y162" s="41"/>
      <x:c r="Z162" s="48"/>
      <x:c r="AA162" s="48"/>
      <x:c r="AB162" s="41"/>
      <x:c r="AC162" s="41"/>
      <x:c r="AD162" s="41"/>
      <x:c r="AE162" s="48"/>
      <x:c r="AF162" s="41"/>
      <x:c r="AG162" s="58" t="str">
        <x:f>IF(A162="","",IFERROR(VLOOKUP(A162,'الفيدباك'!$C$7:$G$206,5,FALSE),""))</x:f>
      </x:c>
      <x:c r="AH162" s="42" t="str">
        <x:f>IF(A162="","",IFERROR(VLOOKUP(A162,'الفيدباك'!$C$7:$L$206,10,FALSE),""))</x:f>
      </x:c>
      <x:c r="AI162" s="41"/>
      <x:c r="AJ162" s="42" t="str">
        <x:f>IF(A162="","",IF(A162="مثال-احذفه","صف توضيحي - احذفه قبل البدء",IF(X162="","حدّث حالة الطلب",IF(AND(X162&lt;&gt;"تم التوصيل",X162&lt;&gt;"ملغي",X162&lt;&gt;"مرتجع",Z162&lt;&gt;"",Z162&lt;TODAY()),"متأخر عن موعد التوصيل",IF(AND(X162="تم التوصيل",W162&gt;0),"حصّل المبلغ المتبقي",IF(AND(X162="تم التوصيل",AD162="موافق",OR(AF162="",AF162="لم يُطلب")),"ابعت لينك الفيدباك",IF(AND(AF162="تم إرسال الرابط",AE162&lt;&gt;"",TODAY()-AE162&gt;=3),"تابع الفيدباك","لا يوجد إجراء عاجل")))))))</x:f>
      </x:c>
    </x:row>
    <x:row r="163" ht="31" customHeight="1">
      <x:c r="A163" s="41"/>
      <x:c r="B163" s="46"/>
      <x:c r="C163" s="41"/>
      <x:c r="D163" s="41"/>
      <x:c r="E163" s="50"/>
      <x:c r="F163" s="41"/>
      <x:c r="G163" s="41"/>
      <x:c r="H163" s="41"/>
      <x:c r="I163" s="52"/>
      <x:c r="J163" s="52"/>
      <x:c r="K163" s="53" t="str">
        <x:f>IF(A163="","",I163+J163)</x:f>
      </x:c>
      <x:c r="L163" s="55" t="str">
        <x:f>IF(A163="","",IF(H163="عرض 2 بـ120",'القوائم والإعدادات'!$B$6/2,IF(H163="عينة",0,'القوائم والإعدادات'!$B$5)))</x:f>
      </x:c>
      <x:c r="M163" s="55" t="str">
        <x:f>IF(A163="","",K163*L163)</x:f>
      </x:c>
      <x:c r="N163" s="56"/>
      <x:c r="O163" s="56"/>
      <x:c r="P163" s="56"/>
      <x:c r="Q163" s="55" t="str">
        <x:f>IF(A163="","",MAX(0,M163-N163+O163))</x:f>
      </x:c>
      <x:c r="R163" s="55" t="str">
        <x:f>IF(A163="","",I163*'المخزون'!$L$6+J163*'المخزون'!$L$7)</x:f>
      </x:c>
      <x:c r="S163" s="55" t="str">
        <x:f>IF(A163="","",Q163-R163-P163)</x:f>
      </x:c>
      <x:c r="T163" s="41"/>
      <x:c r="U163" s="41"/>
      <x:c r="V163" s="56"/>
      <x:c r="W163" s="55" t="str">
        <x:f>IF(A163="","",MAX(0,Q163-V163))</x:f>
      </x:c>
      <x:c r="X163" s="41"/>
      <x:c r="Y163" s="41"/>
      <x:c r="Z163" s="48"/>
      <x:c r="AA163" s="48"/>
      <x:c r="AB163" s="41"/>
      <x:c r="AC163" s="41"/>
      <x:c r="AD163" s="41"/>
      <x:c r="AE163" s="48"/>
      <x:c r="AF163" s="41"/>
      <x:c r="AG163" s="58" t="str">
        <x:f>IF(A163="","",IFERROR(VLOOKUP(A163,'الفيدباك'!$C$7:$G$206,5,FALSE),""))</x:f>
      </x:c>
      <x:c r="AH163" s="42" t="str">
        <x:f>IF(A163="","",IFERROR(VLOOKUP(A163,'الفيدباك'!$C$7:$L$206,10,FALSE),""))</x:f>
      </x:c>
      <x:c r="AI163" s="41"/>
      <x:c r="AJ163" s="42" t="str">
        <x:f>IF(A163="","",IF(A163="مثال-احذفه","صف توضيحي - احذفه قبل البدء",IF(X163="","حدّث حالة الطلب",IF(AND(X163&lt;&gt;"تم التوصيل",X163&lt;&gt;"ملغي",X163&lt;&gt;"مرتجع",Z163&lt;&gt;"",Z163&lt;TODAY()),"متأخر عن موعد التوصيل",IF(AND(X163="تم التوصيل",W163&gt;0),"حصّل المبلغ المتبقي",IF(AND(X163="تم التوصيل",AD163="موافق",OR(AF163="",AF163="لم يُطلب")),"ابعت لينك الفيدباك",IF(AND(AF163="تم إرسال الرابط",AE163&lt;&gt;"",TODAY()-AE163&gt;=3),"تابع الفيدباك","لا يوجد إجراء عاجل")))))))</x:f>
      </x:c>
    </x:row>
    <x:row r="164" ht="31" customHeight="1">
      <x:c r="A164" s="41"/>
      <x:c r="B164" s="46"/>
      <x:c r="C164" s="41"/>
      <x:c r="D164" s="41"/>
      <x:c r="E164" s="50"/>
      <x:c r="F164" s="41"/>
      <x:c r="G164" s="41"/>
      <x:c r="H164" s="41"/>
      <x:c r="I164" s="52"/>
      <x:c r="J164" s="52"/>
      <x:c r="K164" s="53" t="str">
        <x:f>IF(A164="","",I164+J164)</x:f>
      </x:c>
      <x:c r="L164" s="55" t="str">
        <x:f>IF(A164="","",IF(H164="عرض 2 بـ120",'القوائم والإعدادات'!$B$6/2,IF(H164="عينة",0,'القوائم والإعدادات'!$B$5)))</x:f>
      </x:c>
      <x:c r="M164" s="55" t="str">
        <x:f>IF(A164="","",K164*L164)</x:f>
      </x:c>
      <x:c r="N164" s="56"/>
      <x:c r="O164" s="56"/>
      <x:c r="P164" s="56"/>
      <x:c r="Q164" s="55" t="str">
        <x:f>IF(A164="","",MAX(0,M164-N164+O164))</x:f>
      </x:c>
      <x:c r="R164" s="55" t="str">
        <x:f>IF(A164="","",I164*'المخزون'!$L$6+J164*'المخزون'!$L$7)</x:f>
      </x:c>
      <x:c r="S164" s="55" t="str">
        <x:f>IF(A164="","",Q164-R164-P164)</x:f>
      </x:c>
      <x:c r="T164" s="41"/>
      <x:c r="U164" s="41"/>
      <x:c r="V164" s="56"/>
      <x:c r="W164" s="55" t="str">
        <x:f>IF(A164="","",MAX(0,Q164-V164))</x:f>
      </x:c>
      <x:c r="X164" s="41"/>
      <x:c r="Y164" s="41"/>
      <x:c r="Z164" s="48"/>
      <x:c r="AA164" s="48"/>
      <x:c r="AB164" s="41"/>
      <x:c r="AC164" s="41"/>
      <x:c r="AD164" s="41"/>
      <x:c r="AE164" s="48"/>
      <x:c r="AF164" s="41"/>
      <x:c r="AG164" s="58" t="str">
        <x:f>IF(A164="","",IFERROR(VLOOKUP(A164,'الفيدباك'!$C$7:$G$206,5,FALSE),""))</x:f>
      </x:c>
      <x:c r="AH164" s="42" t="str">
        <x:f>IF(A164="","",IFERROR(VLOOKUP(A164,'الفيدباك'!$C$7:$L$206,10,FALSE),""))</x:f>
      </x:c>
      <x:c r="AI164" s="41"/>
      <x:c r="AJ164" s="42" t="str">
        <x:f>IF(A164="","",IF(A164="مثال-احذفه","صف توضيحي - احذفه قبل البدء",IF(X164="","حدّث حالة الطلب",IF(AND(X164&lt;&gt;"تم التوصيل",X164&lt;&gt;"ملغي",X164&lt;&gt;"مرتجع",Z164&lt;&gt;"",Z164&lt;TODAY()),"متأخر عن موعد التوصيل",IF(AND(X164="تم التوصيل",W164&gt;0),"حصّل المبلغ المتبقي",IF(AND(X164="تم التوصيل",AD164="موافق",OR(AF164="",AF164="لم يُطلب")),"ابعت لينك الفيدباك",IF(AND(AF164="تم إرسال الرابط",AE164&lt;&gt;"",TODAY()-AE164&gt;=3),"تابع الفيدباك","لا يوجد إجراء عاجل")))))))</x:f>
      </x:c>
    </x:row>
    <x:row r="165" ht="31" customHeight="1">
      <x:c r="A165" s="41"/>
      <x:c r="B165" s="46"/>
      <x:c r="C165" s="41"/>
      <x:c r="D165" s="41"/>
      <x:c r="E165" s="50"/>
      <x:c r="F165" s="41"/>
      <x:c r="G165" s="41"/>
      <x:c r="H165" s="41"/>
      <x:c r="I165" s="52"/>
      <x:c r="J165" s="52"/>
      <x:c r="K165" s="53" t="str">
        <x:f>IF(A165="","",I165+J165)</x:f>
      </x:c>
      <x:c r="L165" s="55" t="str">
        <x:f>IF(A165="","",IF(H165="عرض 2 بـ120",'القوائم والإعدادات'!$B$6/2,IF(H165="عينة",0,'القوائم والإعدادات'!$B$5)))</x:f>
      </x:c>
      <x:c r="M165" s="55" t="str">
        <x:f>IF(A165="","",K165*L165)</x:f>
      </x:c>
      <x:c r="N165" s="56"/>
      <x:c r="O165" s="56"/>
      <x:c r="P165" s="56"/>
      <x:c r="Q165" s="55" t="str">
        <x:f>IF(A165="","",MAX(0,M165-N165+O165))</x:f>
      </x:c>
      <x:c r="R165" s="55" t="str">
        <x:f>IF(A165="","",I165*'المخزون'!$L$6+J165*'المخزون'!$L$7)</x:f>
      </x:c>
      <x:c r="S165" s="55" t="str">
        <x:f>IF(A165="","",Q165-R165-P165)</x:f>
      </x:c>
      <x:c r="T165" s="41"/>
      <x:c r="U165" s="41"/>
      <x:c r="V165" s="56"/>
      <x:c r="W165" s="55" t="str">
        <x:f>IF(A165="","",MAX(0,Q165-V165))</x:f>
      </x:c>
      <x:c r="X165" s="41"/>
      <x:c r="Y165" s="41"/>
      <x:c r="Z165" s="48"/>
      <x:c r="AA165" s="48"/>
      <x:c r="AB165" s="41"/>
      <x:c r="AC165" s="41"/>
      <x:c r="AD165" s="41"/>
      <x:c r="AE165" s="48"/>
      <x:c r="AF165" s="41"/>
      <x:c r="AG165" s="58" t="str">
        <x:f>IF(A165="","",IFERROR(VLOOKUP(A165,'الفيدباك'!$C$7:$G$206,5,FALSE),""))</x:f>
      </x:c>
      <x:c r="AH165" s="42" t="str">
        <x:f>IF(A165="","",IFERROR(VLOOKUP(A165,'الفيدباك'!$C$7:$L$206,10,FALSE),""))</x:f>
      </x:c>
      <x:c r="AI165" s="41"/>
      <x:c r="AJ165" s="42" t="str">
        <x:f>IF(A165="","",IF(A165="مثال-احذفه","صف توضيحي - احذفه قبل البدء",IF(X165="","حدّث حالة الطلب",IF(AND(X165&lt;&gt;"تم التوصيل",X165&lt;&gt;"ملغي",X165&lt;&gt;"مرتجع",Z165&lt;&gt;"",Z165&lt;TODAY()),"متأخر عن موعد التوصيل",IF(AND(X165="تم التوصيل",W165&gt;0),"حصّل المبلغ المتبقي",IF(AND(X165="تم التوصيل",AD165="موافق",OR(AF165="",AF165="لم يُطلب")),"ابعت لينك الفيدباك",IF(AND(AF165="تم إرسال الرابط",AE165&lt;&gt;"",TODAY()-AE165&gt;=3),"تابع الفيدباك","لا يوجد إجراء عاجل")))))))</x:f>
      </x:c>
    </x:row>
    <x:row r="166" ht="31" customHeight="1">
      <x:c r="A166" s="41"/>
      <x:c r="B166" s="46"/>
      <x:c r="C166" s="41"/>
      <x:c r="D166" s="41"/>
      <x:c r="E166" s="50"/>
      <x:c r="F166" s="41"/>
      <x:c r="G166" s="41"/>
      <x:c r="H166" s="41"/>
      <x:c r="I166" s="52"/>
      <x:c r="J166" s="52"/>
      <x:c r="K166" s="53" t="str">
        <x:f>IF(A166="","",I166+J166)</x:f>
      </x:c>
      <x:c r="L166" s="55" t="str">
        <x:f>IF(A166="","",IF(H166="عرض 2 بـ120",'القوائم والإعدادات'!$B$6/2,IF(H166="عينة",0,'القوائم والإعدادات'!$B$5)))</x:f>
      </x:c>
      <x:c r="M166" s="55" t="str">
        <x:f>IF(A166="","",K166*L166)</x:f>
      </x:c>
      <x:c r="N166" s="56"/>
      <x:c r="O166" s="56"/>
      <x:c r="P166" s="56"/>
      <x:c r="Q166" s="55" t="str">
        <x:f>IF(A166="","",MAX(0,M166-N166+O166))</x:f>
      </x:c>
      <x:c r="R166" s="55" t="str">
        <x:f>IF(A166="","",I166*'المخزون'!$L$6+J166*'المخزون'!$L$7)</x:f>
      </x:c>
      <x:c r="S166" s="55" t="str">
        <x:f>IF(A166="","",Q166-R166-P166)</x:f>
      </x:c>
      <x:c r="T166" s="41"/>
      <x:c r="U166" s="41"/>
      <x:c r="V166" s="56"/>
      <x:c r="W166" s="55" t="str">
        <x:f>IF(A166="","",MAX(0,Q166-V166))</x:f>
      </x:c>
      <x:c r="X166" s="41"/>
      <x:c r="Y166" s="41"/>
      <x:c r="Z166" s="48"/>
      <x:c r="AA166" s="48"/>
      <x:c r="AB166" s="41"/>
      <x:c r="AC166" s="41"/>
      <x:c r="AD166" s="41"/>
      <x:c r="AE166" s="48"/>
      <x:c r="AF166" s="41"/>
      <x:c r="AG166" s="58" t="str">
        <x:f>IF(A166="","",IFERROR(VLOOKUP(A166,'الفيدباك'!$C$7:$G$206,5,FALSE),""))</x:f>
      </x:c>
      <x:c r="AH166" s="42" t="str">
        <x:f>IF(A166="","",IFERROR(VLOOKUP(A166,'الفيدباك'!$C$7:$L$206,10,FALSE),""))</x:f>
      </x:c>
      <x:c r="AI166" s="41"/>
      <x:c r="AJ166" s="42" t="str">
        <x:f>IF(A166="","",IF(A166="مثال-احذفه","صف توضيحي - احذفه قبل البدء",IF(X166="","حدّث حالة الطلب",IF(AND(X166&lt;&gt;"تم التوصيل",X166&lt;&gt;"ملغي",X166&lt;&gt;"مرتجع",Z166&lt;&gt;"",Z166&lt;TODAY()),"متأخر عن موعد التوصيل",IF(AND(X166="تم التوصيل",W166&gt;0),"حصّل المبلغ المتبقي",IF(AND(X166="تم التوصيل",AD166="موافق",OR(AF166="",AF166="لم يُطلب")),"ابعت لينك الفيدباك",IF(AND(AF166="تم إرسال الرابط",AE166&lt;&gt;"",TODAY()-AE166&gt;=3),"تابع الفيدباك","لا يوجد إجراء عاجل")))))))</x:f>
      </x:c>
    </x:row>
    <x:row r="167" ht="31" customHeight="1">
      <x:c r="A167" s="41"/>
      <x:c r="B167" s="46"/>
      <x:c r="C167" s="41"/>
      <x:c r="D167" s="41"/>
      <x:c r="E167" s="50"/>
      <x:c r="F167" s="41"/>
      <x:c r="G167" s="41"/>
      <x:c r="H167" s="41"/>
      <x:c r="I167" s="52"/>
      <x:c r="J167" s="52"/>
      <x:c r="K167" s="53" t="str">
        <x:f>IF(A167="","",I167+J167)</x:f>
      </x:c>
      <x:c r="L167" s="55" t="str">
        <x:f>IF(A167="","",IF(H167="عرض 2 بـ120",'القوائم والإعدادات'!$B$6/2,IF(H167="عينة",0,'القوائم والإعدادات'!$B$5)))</x:f>
      </x:c>
      <x:c r="M167" s="55" t="str">
        <x:f>IF(A167="","",K167*L167)</x:f>
      </x:c>
      <x:c r="N167" s="56"/>
      <x:c r="O167" s="56"/>
      <x:c r="P167" s="56"/>
      <x:c r="Q167" s="55" t="str">
        <x:f>IF(A167="","",MAX(0,M167-N167+O167))</x:f>
      </x:c>
      <x:c r="R167" s="55" t="str">
        <x:f>IF(A167="","",I167*'المخزون'!$L$6+J167*'المخزون'!$L$7)</x:f>
      </x:c>
      <x:c r="S167" s="55" t="str">
        <x:f>IF(A167="","",Q167-R167-P167)</x:f>
      </x:c>
      <x:c r="T167" s="41"/>
      <x:c r="U167" s="41"/>
      <x:c r="V167" s="56"/>
      <x:c r="W167" s="55" t="str">
        <x:f>IF(A167="","",MAX(0,Q167-V167))</x:f>
      </x:c>
      <x:c r="X167" s="41"/>
      <x:c r="Y167" s="41"/>
      <x:c r="Z167" s="48"/>
      <x:c r="AA167" s="48"/>
      <x:c r="AB167" s="41"/>
      <x:c r="AC167" s="41"/>
      <x:c r="AD167" s="41"/>
      <x:c r="AE167" s="48"/>
      <x:c r="AF167" s="41"/>
      <x:c r="AG167" s="58" t="str">
        <x:f>IF(A167="","",IFERROR(VLOOKUP(A167,'الفيدباك'!$C$7:$G$206,5,FALSE),""))</x:f>
      </x:c>
      <x:c r="AH167" s="42" t="str">
        <x:f>IF(A167="","",IFERROR(VLOOKUP(A167,'الفيدباك'!$C$7:$L$206,10,FALSE),""))</x:f>
      </x:c>
      <x:c r="AI167" s="41"/>
      <x:c r="AJ167" s="42" t="str">
        <x:f>IF(A167="","",IF(A167="مثال-احذفه","صف توضيحي - احذفه قبل البدء",IF(X167="","حدّث حالة الطلب",IF(AND(X167&lt;&gt;"تم التوصيل",X167&lt;&gt;"ملغي",X167&lt;&gt;"مرتجع",Z167&lt;&gt;"",Z167&lt;TODAY()),"متأخر عن موعد التوصيل",IF(AND(X167="تم التوصيل",W167&gt;0),"حصّل المبلغ المتبقي",IF(AND(X167="تم التوصيل",AD167="موافق",OR(AF167="",AF167="لم يُطلب")),"ابعت لينك الفيدباك",IF(AND(AF167="تم إرسال الرابط",AE167&lt;&gt;"",TODAY()-AE167&gt;=3),"تابع الفيدباك","لا يوجد إجراء عاجل")))))))</x:f>
      </x:c>
    </x:row>
    <x:row r="168" ht="31" customHeight="1">
      <x:c r="A168" s="41"/>
      <x:c r="B168" s="46"/>
      <x:c r="C168" s="41"/>
      <x:c r="D168" s="41"/>
      <x:c r="E168" s="50"/>
      <x:c r="F168" s="41"/>
      <x:c r="G168" s="41"/>
      <x:c r="H168" s="41"/>
      <x:c r="I168" s="52"/>
      <x:c r="J168" s="52"/>
      <x:c r="K168" s="53" t="str">
        <x:f>IF(A168="","",I168+J168)</x:f>
      </x:c>
      <x:c r="L168" s="55" t="str">
        <x:f>IF(A168="","",IF(H168="عرض 2 بـ120",'القوائم والإعدادات'!$B$6/2,IF(H168="عينة",0,'القوائم والإعدادات'!$B$5)))</x:f>
      </x:c>
      <x:c r="M168" s="55" t="str">
        <x:f>IF(A168="","",K168*L168)</x:f>
      </x:c>
      <x:c r="N168" s="56"/>
      <x:c r="O168" s="56"/>
      <x:c r="P168" s="56"/>
      <x:c r="Q168" s="55" t="str">
        <x:f>IF(A168="","",MAX(0,M168-N168+O168))</x:f>
      </x:c>
      <x:c r="R168" s="55" t="str">
        <x:f>IF(A168="","",I168*'المخزون'!$L$6+J168*'المخزون'!$L$7)</x:f>
      </x:c>
      <x:c r="S168" s="55" t="str">
        <x:f>IF(A168="","",Q168-R168-P168)</x:f>
      </x:c>
      <x:c r="T168" s="41"/>
      <x:c r="U168" s="41"/>
      <x:c r="V168" s="56"/>
      <x:c r="W168" s="55" t="str">
        <x:f>IF(A168="","",MAX(0,Q168-V168))</x:f>
      </x:c>
      <x:c r="X168" s="41"/>
      <x:c r="Y168" s="41"/>
      <x:c r="Z168" s="48"/>
      <x:c r="AA168" s="48"/>
      <x:c r="AB168" s="41"/>
      <x:c r="AC168" s="41"/>
      <x:c r="AD168" s="41"/>
      <x:c r="AE168" s="48"/>
      <x:c r="AF168" s="41"/>
      <x:c r="AG168" s="58" t="str">
        <x:f>IF(A168="","",IFERROR(VLOOKUP(A168,'الفيدباك'!$C$7:$G$206,5,FALSE),""))</x:f>
      </x:c>
      <x:c r="AH168" s="42" t="str">
        <x:f>IF(A168="","",IFERROR(VLOOKUP(A168,'الفيدباك'!$C$7:$L$206,10,FALSE),""))</x:f>
      </x:c>
      <x:c r="AI168" s="41"/>
      <x:c r="AJ168" s="42" t="str">
        <x:f>IF(A168="","",IF(A168="مثال-احذفه","صف توضيحي - احذفه قبل البدء",IF(X168="","حدّث حالة الطلب",IF(AND(X168&lt;&gt;"تم التوصيل",X168&lt;&gt;"ملغي",X168&lt;&gt;"مرتجع",Z168&lt;&gt;"",Z168&lt;TODAY()),"متأخر عن موعد التوصيل",IF(AND(X168="تم التوصيل",W168&gt;0),"حصّل المبلغ المتبقي",IF(AND(X168="تم التوصيل",AD168="موافق",OR(AF168="",AF168="لم يُطلب")),"ابعت لينك الفيدباك",IF(AND(AF168="تم إرسال الرابط",AE168&lt;&gt;"",TODAY()-AE168&gt;=3),"تابع الفيدباك","لا يوجد إجراء عاجل")))))))</x:f>
      </x:c>
    </x:row>
    <x:row r="169" ht="31" customHeight="1">
      <x:c r="A169" s="41"/>
      <x:c r="B169" s="46"/>
      <x:c r="C169" s="41"/>
      <x:c r="D169" s="41"/>
      <x:c r="E169" s="50"/>
      <x:c r="F169" s="41"/>
      <x:c r="G169" s="41"/>
      <x:c r="H169" s="41"/>
      <x:c r="I169" s="52"/>
      <x:c r="J169" s="52"/>
      <x:c r="K169" s="53" t="str">
        <x:f>IF(A169="","",I169+J169)</x:f>
      </x:c>
      <x:c r="L169" s="55" t="str">
        <x:f>IF(A169="","",IF(H169="عرض 2 بـ120",'القوائم والإعدادات'!$B$6/2,IF(H169="عينة",0,'القوائم والإعدادات'!$B$5)))</x:f>
      </x:c>
      <x:c r="M169" s="55" t="str">
        <x:f>IF(A169="","",K169*L169)</x:f>
      </x:c>
      <x:c r="N169" s="56"/>
      <x:c r="O169" s="56"/>
      <x:c r="P169" s="56"/>
      <x:c r="Q169" s="55" t="str">
        <x:f>IF(A169="","",MAX(0,M169-N169+O169))</x:f>
      </x:c>
      <x:c r="R169" s="55" t="str">
        <x:f>IF(A169="","",I169*'المخزون'!$L$6+J169*'المخزون'!$L$7)</x:f>
      </x:c>
      <x:c r="S169" s="55" t="str">
        <x:f>IF(A169="","",Q169-R169-P169)</x:f>
      </x:c>
      <x:c r="T169" s="41"/>
      <x:c r="U169" s="41"/>
      <x:c r="V169" s="56"/>
      <x:c r="W169" s="55" t="str">
        <x:f>IF(A169="","",MAX(0,Q169-V169))</x:f>
      </x:c>
      <x:c r="X169" s="41"/>
      <x:c r="Y169" s="41"/>
      <x:c r="Z169" s="48"/>
      <x:c r="AA169" s="48"/>
      <x:c r="AB169" s="41"/>
      <x:c r="AC169" s="41"/>
      <x:c r="AD169" s="41"/>
      <x:c r="AE169" s="48"/>
      <x:c r="AF169" s="41"/>
      <x:c r="AG169" s="58" t="str">
        <x:f>IF(A169="","",IFERROR(VLOOKUP(A169,'الفيدباك'!$C$7:$G$206,5,FALSE),""))</x:f>
      </x:c>
      <x:c r="AH169" s="42" t="str">
        <x:f>IF(A169="","",IFERROR(VLOOKUP(A169,'الفيدباك'!$C$7:$L$206,10,FALSE),""))</x:f>
      </x:c>
      <x:c r="AI169" s="41"/>
      <x:c r="AJ169" s="42" t="str">
        <x:f>IF(A169="","",IF(A169="مثال-احذفه","صف توضيحي - احذفه قبل البدء",IF(X169="","حدّث حالة الطلب",IF(AND(X169&lt;&gt;"تم التوصيل",X169&lt;&gt;"ملغي",X169&lt;&gt;"مرتجع",Z169&lt;&gt;"",Z169&lt;TODAY()),"متأخر عن موعد التوصيل",IF(AND(X169="تم التوصيل",W169&gt;0),"حصّل المبلغ المتبقي",IF(AND(X169="تم التوصيل",AD169="موافق",OR(AF169="",AF169="لم يُطلب")),"ابعت لينك الفيدباك",IF(AND(AF169="تم إرسال الرابط",AE169&lt;&gt;"",TODAY()-AE169&gt;=3),"تابع الفيدباك","لا يوجد إجراء عاجل")))))))</x:f>
      </x:c>
    </x:row>
    <x:row r="170" ht="31" customHeight="1">
      <x:c r="A170" s="41"/>
      <x:c r="B170" s="46"/>
      <x:c r="C170" s="41"/>
      <x:c r="D170" s="41"/>
      <x:c r="E170" s="50"/>
      <x:c r="F170" s="41"/>
      <x:c r="G170" s="41"/>
      <x:c r="H170" s="41"/>
      <x:c r="I170" s="52"/>
      <x:c r="J170" s="52"/>
      <x:c r="K170" s="53" t="str">
        <x:f>IF(A170="","",I170+J170)</x:f>
      </x:c>
      <x:c r="L170" s="55" t="str">
        <x:f>IF(A170="","",IF(H170="عرض 2 بـ120",'القوائم والإعدادات'!$B$6/2,IF(H170="عينة",0,'القوائم والإعدادات'!$B$5)))</x:f>
      </x:c>
      <x:c r="M170" s="55" t="str">
        <x:f>IF(A170="","",K170*L170)</x:f>
      </x:c>
      <x:c r="N170" s="56"/>
      <x:c r="O170" s="56"/>
      <x:c r="P170" s="56"/>
      <x:c r="Q170" s="55" t="str">
        <x:f>IF(A170="","",MAX(0,M170-N170+O170))</x:f>
      </x:c>
      <x:c r="R170" s="55" t="str">
        <x:f>IF(A170="","",I170*'المخزون'!$L$6+J170*'المخزون'!$L$7)</x:f>
      </x:c>
      <x:c r="S170" s="55" t="str">
        <x:f>IF(A170="","",Q170-R170-P170)</x:f>
      </x:c>
      <x:c r="T170" s="41"/>
      <x:c r="U170" s="41"/>
      <x:c r="V170" s="56"/>
      <x:c r="W170" s="55" t="str">
        <x:f>IF(A170="","",MAX(0,Q170-V170))</x:f>
      </x:c>
      <x:c r="X170" s="41"/>
      <x:c r="Y170" s="41"/>
      <x:c r="Z170" s="48"/>
      <x:c r="AA170" s="48"/>
      <x:c r="AB170" s="41"/>
      <x:c r="AC170" s="41"/>
      <x:c r="AD170" s="41"/>
      <x:c r="AE170" s="48"/>
      <x:c r="AF170" s="41"/>
      <x:c r="AG170" s="58" t="str">
        <x:f>IF(A170="","",IFERROR(VLOOKUP(A170,'الفيدباك'!$C$7:$G$206,5,FALSE),""))</x:f>
      </x:c>
      <x:c r="AH170" s="42" t="str">
        <x:f>IF(A170="","",IFERROR(VLOOKUP(A170,'الفيدباك'!$C$7:$L$206,10,FALSE),""))</x:f>
      </x:c>
      <x:c r="AI170" s="41"/>
      <x:c r="AJ170" s="42" t="str">
        <x:f>IF(A170="","",IF(A170="مثال-احذفه","صف توضيحي - احذفه قبل البدء",IF(X170="","حدّث حالة الطلب",IF(AND(X170&lt;&gt;"تم التوصيل",X170&lt;&gt;"ملغي",X170&lt;&gt;"مرتجع",Z170&lt;&gt;"",Z170&lt;TODAY()),"متأخر عن موعد التوصيل",IF(AND(X170="تم التوصيل",W170&gt;0),"حصّل المبلغ المتبقي",IF(AND(X170="تم التوصيل",AD170="موافق",OR(AF170="",AF170="لم يُطلب")),"ابعت لينك الفيدباك",IF(AND(AF170="تم إرسال الرابط",AE170&lt;&gt;"",TODAY()-AE170&gt;=3),"تابع الفيدباك","لا يوجد إجراء عاجل")))))))</x:f>
      </x:c>
    </x:row>
    <x:row r="171" ht="31" customHeight="1">
      <x:c r="A171" s="41"/>
      <x:c r="B171" s="46"/>
      <x:c r="C171" s="41"/>
      <x:c r="D171" s="41"/>
      <x:c r="E171" s="50"/>
      <x:c r="F171" s="41"/>
      <x:c r="G171" s="41"/>
      <x:c r="H171" s="41"/>
      <x:c r="I171" s="52"/>
      <x:c r="J171" s="52"/>
      <x:c r="K171" s="53" t="str">
        <x:f>IF(A171="","",I171+J171)</x:f>
      </x:c>
      <x:c r="L171" s="55" t="str">
        <x:f>IF(A171="","",IF(H171="عرض 2 بـ120",'القوائم والإعدادات'!$B$6/2,IF(H171="عينة",0,'القوائم والإعدادات'!$B$5)))</x:f>
      </x:c>
      <x:c r="M171" s="55" t="str">
        <x:f>IF(A171="","",K171*L171)</x:f>
      </x:c>
      <x:c r="N171" s="56"/>
      <x:c r="O171" s="56"/>
      <x:c r="P171" s="56"/>
      <x:c r="Q171" s="55" t="str">
        <x:f>IF(A171="","",MAX(0,M171-N171+O171))</x:f>
      </x:c>
      <x:c r="R171" s="55" t="str">
        <x:f>IF(A171="","",I171*'المخزون'!$L$6+J171*'المخزون'!$L$7)</x:f>
      </x:c>
      <x:c r="S171" s="55" t="str">
        <x:f>IF(A171="","",Q171-R171-P171)</x:f>
      </x:c>
      <x:c r="T171" s="41"/>
      <x:c r="U171" s="41"/>
      <x:c r="V171" s="56"/>
      <x:c r="W171" s="55" t="str">
        <x:f>IF(A171="","",MAX(0,Q171-V171))</x:f>
      </x:c>
      <x:c r="X171" s="41"/>
      <x:c r="Y171" s="41"/>
      <x:c r="Z171" s="48"/>
      <x:c r="AA171" s="48"/>
      <x:c r="AB171" s="41"/>
      <x:c r="AC171" s="41"/>
      <x:c r="AD171" s="41"/>
      <x:c r="AE171" s="48"/>
      <x:c r="AF171" s="41"/>
      <x:c r="AG171" s="58" t="str">
        <x:f>IF(A171="","",IFERROR(VLOOKUP(A171,'الفيدباك'!$C$7:$G$206,5,FALSE),""))</x:f>
      </x:c>
      <x:c r="AH171" s="42" t="str">
        <x:f>IF(A171="","",IFERROR(VLOOKUP(A171,'الفيدباك'!$C$7:$L$206,10,FALSE),""))</x:f>
      </x:c>
      <x:c r="AI171" s="41"/>
      <x:c r="AJ171" s="42" t="str">
        <x:f>IF(A171="","",IF(A171="مثال-احذفه","صف توضيحي - احذفه قبل البدء",IF(X171="","حدّث حالة الطلب",IF(AND(X171&lt;&gt;"تم التوصيل",X171&lt;&gt;"ملغي",X171&lt;&gt;"مرتجع",Z171&lt;&gt;"",Z171&lt;TODAY()),"متأخر عن موعد التوصيل",IF(AND(X171="تم التوصيل",W171&gt;0),"حصّل المبلغ المتبقي",IF(AND(X171="تم التوصيل",AD171="موافق",OR(AF171="",AF171="لم يُطلب")),"ابعت لينك الفيدباك",IF(AND(AF171="تم إرسال الرابط",AE171&lt;&gt;"",TODAY()-AE171&gt;=3),"تابع الفيدباك","لا يوجد إجراء عاجل")))))))</x:f>
      </x:c>
    </x:row>
    <x:row r="172" ht="31" customHeight="1">
      <x:c r="A172" s="41"/>
      <x:c r="B172" s="46"/>
      <x:c r="C172" s="41"/>
      <x:c r="D172" s="41"/>
      <x:c r="E172" s="50"/>
      <x:c r="F172" s="41"/>
      <x:c r="G172" s="41"/>
      <x:c r="H172" s="41"/>
      <x:c r="I172" s="52"/>
      <x:c r="J172" s="52"/>
      <x:c r="K172" s="53" t="str">
        <x:f>IF(A172="","",I172+J172)</x:f>
      </x:c>
      <x:c r="L172" s="55" t="str">
        <x:f>IF(A172="","",IF(H172="عرض 2 بـ120",'القوائم والإعدادات'!$B$6/2,IF(H172="عينة",0,'القوائم والإعدادات'!$B$5)))</x:f>
      </x:c>
      <x:c r="M172" s="55" t="str">
        <x:f>IF(A172="","",K172*L172)</x:f>
      </x:c>
      <x:c r="N172" s="56"/>
      <x:c r="O172" s="56"/>
      <x:c r="P172" s="56"/>
      <x:c r="Q172" s="55" t="str">
        <x:f>IF(A172="","",MAX(0,M172-N172+O172))</x:f>
      </x:c>
      <x:c r="R172" s="55" t="str">
        <x:f>IF(A172="","",I172*'المخزون'!$L$6+J172*'المخزون'!$L$7)</x:f>
      </x:c>
      <x:c r="S172" s="55" t="str">
        <x:f>IF(A172="","",Q172-R172-P172)</x:f>
      </x:c>
      <x:c r="T172" s="41"/>
      <x:c r="U172" s="41"/>
      <x:c r="V172" s="56"/>
      <x:c r="W172" s="55" t="str">
        <x:f>IF(A172="","",MAX(0,Q172-V172))</x:f>
      </x:c>
      <x:c r="X172" s="41"/>
      <x:c r="Y172" s="41"/>
      <x:c r="Z172" s="48"/>
      <x:c r="AA172" s="48"/>
      <x:c r="AB172" s="41"/>
      <x:c r="AC172" s="41"/>
      <x:c r="AD172" s="41"/>
      <x:c r="AE172" s="48"/>
      <x:c r="AF172" s="41"/>
      <x:c r="AG172" s="58" t="str">
        <x:f>IF(A172="","",IFERROR(VLOOKUP(A172,'الفيدباك'!$C$7:$G$206,5,FALSE),""))</x:f>
      </x:c>
      <x:c r="AH172" s="42" t="str">
        <x:f>IF(A172="","",IFERROR(VLOOKUP(A172,'الفيدباك'!$C$7:$L$206,10,FALSE),""))</x:f>
      </x:c>
      <x:c r="AI172" s="41"/>
      <x:c r="AJ172" s="42" t="str">
        <x:f>IF(A172="","",IF(A172="مثال-احذفه","صف توضيحي - احذفه قبل البدء",IF(X172="","حدّث حالة الطلب",IF(AND(X172&lt;&gt;"تم التوصيل",X172&lt;&gt;"ملغي",X172&lt;&gt;"مرتجع",Z172&lt;&gt;"",Z172&lt;TODAY()),"متأخر عن موعد التوصيل",IF(AND(X172="تم التوصيل",W172&gt;0),"حصّل المبلغ المتبقي",IF(AND(X172="تم التوصيل",AD172="موافق",OR(AF172="",AF172="لم يُطلب")),"ابعت لينك الفيدباك",IF(AND(AF172="تم إرسال الرابط",AE172&lt;&gt;"",TODAY()-AE172&gt;=3),"تابع الفيدباك","لا يوجد إجراء عاجل")))))))</x:f>
      </x:c>
    </x:row>
    <x:row r="173" ht="31" customHeight="1">
      <x:c r="A173" s="41"/>
      <x:c r="B173" s="46"/>
      <x:c r="C173" s="41"/>
      <x:c r="D173" s="41"/>
      <x:c r="E173" s="50"/>
      <x:c r="F173" s="41"/>
      <x:c r="G173" s="41"/>
      <x:c r="H173" s="41"/>
      <x:c r="I173" s="52"/>
      <x:c r="J173" s="52"/>
      <x:c r="K173" s="53" t="str">
        <x:f>IF(A173="","",I173+J173)</x:f>
      </x:c>
      <x:c r="L173" s="55" t="str">
        <x:f>IF(A173="","",IF(H173="عرض 2 بـ120",'القوائم والإعدادات'!$B$6/2,IF(H173="عينة",0,'القوائم والإعدادات'!$B$5)))</x:f>
      </x:c>
      <x:c r="M173" s="55" t="str">
        <x:f>IF(A173="","",K173*L173)</x:f>
      </x:c>
      <x:c r="N173" s="56"/>
      <x:c r="O173" s="56"/>
      <x:c r="P173" s="56"/>
      <x:c r="Q173" s="55" t="str">
        <x:f>IF(A173="","",MAX(0,M173-N173+O173))</x:f>
      </x:c>
      <x:c r="R173" s="55" t="str">
        <x:f>IF(A173="","",I173*'المخزون'!$L$6+J173*'المخزون'!$L$7)</x:f>
      </x:c>
      <x:c r="S173" s="55" t="str">
        <x:f>IF(A173="","",Q173-R173-P173)</x:f>
      </x:c>
      <x:c r="T173" s="41"/>
      <x:c r="U173" s="41"/>
      <x:c r="V173" s="56"/>
      <x:c r="W173" s="55" t="str">
        <x:f>IF(A173="","",MAX(0,Q173-V173))</x:f>
      </x:c>
      <x:c r="X173" s="41"/>
      <x:c r="Y173" s="41"/>
      <x:c r="Z173" s="48"/>
      <x:c r="AA173" s="48"/>
      <x:c r="AB173" s="41"/>
      <x:c r="AC173" s="41"/>
      <x:c r="AD173" s="41"/>
      <x:c r="AE173" s="48"/>
      <x:c r="AF173" s="41"/>
      <x:c r="AG173" s="58" t="str">
        <x:f>IF(A173="","",IFERROR(VLOOKUP(A173,'الفيدباك'!$C$7:$G$206,5,FALSE),""))</x:f>
      </x:c>
      <x:c r="AH173" s="42" t="str">
        <x:f>IF(A173="","",IFERROR(VLOOKUP(A173,'الفيدباك'!$C$7:$L$206,10,FALSE),""))</x:f>
      </x:c>
      <x:c r="AI173" s="41"/>
      <x:c r="AJ173" s="42" t="str">
        <x:f>IF(A173="","",IF(A173="مثال-احذفه","صف توضيحي - احذفه قبل البدء",IF(X173="","حدّث حالة الطلب",IF(AND(X173&lt;&gt;"تم التوصيل",X173&lt;&gt;"ملغي",X173&lt;&gt;"مرتجع",Z173&lt;&gt;"",Z173&lt;TODAY()),"متأخر عن موعد التوصيل",IF(AND(X173="تم التوصيل",W173&gt;0),"حصّل المبلغ المتبقي",IF(AND(X173="تم التوصيل",AD173="موافق",OR(AF173="",AF173="لم يُطلب")),"ابعت لينك الفيدباك",IF(AND(AF173="تم إرسال الرابط",AE173&lt;&gt;"",TODAY()-AE173&gt;=3),"تابع الفيدباك","لا يوجد إجراء عاجل")))))))</x:f>
      </x:c>
    </x:row>
    <x:row r="174" ht="31" customHeight="1">
      <x:c r="A174" s="41"/>
      <x:c r="B174" s="46"/>
      <x:c r="C174" s="41"/>
      <x:c r="D174" s="41"/>
      <x:c r="E174" s="50"/>
      <x:c r="F174" s="41"/>
      <x:c r="G174" s="41"/>
      <x:c r="H174" s="41"/>
      <x:c r="I174" s="52"/>
      <x:c r="J174" s="52"/>
      <x:c r="K174" s="53" t="str">
        <x:f>IF(A174="","",I174+J174)</x:f>
      </x:c>
      <x:c r="L174" s="55" t="str">
        <x:f>IF(A174="","",IF(H174="عرض 2 بـ120",'القوائم والإعدادات'!$B$6/2,IF(H174="عينة",0,'القوائم والإعدادات'!$B$5)))</x:f>
      </x:c>
      <x:c r="M174" s="55" t="str">
        <x:f>IF(A174="","",K174*L174)</x:f>
      </x:c>
      <x:c r="N174" s="56"/>
      <x:c r="O174" s="56"/>
      <x:c r="P174" s="56"/>
      <x:c r="Q174" s="55" t="str">
        <x:f>IF(A174="","",MAX(0,M174-N174+O174))</x:f>
      </x:c>
      <x:c r="R174" s="55" t="str">
        <x:f>IF(A174="","",I174*'المخزون'!$L$6+J174*'المخزون'!$L$7)</x:f>
      </x:c>
      <x:c r="S174" s="55" t="str">
        <x:f>IF(A174="","",Q174-R174-P174)</x:f>
      </x:c>
      <x:c r="T174" s="41"/>
      <x:c r="U174" s="41"/>
      <x:c r="V174" s="56"/>
      <x:c r="W174" s="55" t="str">
        <x:f>IF(A174="","",MAX(0,Q174-V174))</x:f>
      </x:c>
      <x:c r="X174" s="41"/>
      <x:c r="Y174" s="41"/>
      <x:c r="Z174" s="48"/>
      <x:c r="AA174" s="48"/>
      <x:c r="AB174" s="41"/>
      <x:c r="AC174" s="41"/>
      <x:c r="AD174" s="41"/>
      <x:c r="AE174" s="48"/>
      <x:c r="AF174" s="41"/>
      <x:c r="AG174" s="58" t="str">
        <x:f>IF(A174="","",IFERROR(VLOOKUP(A174,'الفيدباك'!$C$7:$G$206,5,FALSE),""))</x:f>
      </x:c>
      <x:c r="AH174" s="42" t="str">
        <x:f>IF(A174="","",IFERROR(VLOOKUP(A174,'الفيدباك'!$C$7:$L$206,10,FALSE),""))</x:f>
      </x:c>
      <x:c r="AI174" s="41"/>
      <x:c r="AJ174" s="42" t="str">
        <x:f>IF(A174="","",IF(A174="مثال-احذفه","صف توضيحي - احذفه قبل البدء",IF(X174="","حدّث حالة الطلب",IF(AND(X174&lt;&gt;"تم التوصيل",X174&lt;&gt;"ملغي",X174&lt;&gt;"مرتجع",Z174&lt;&gt;"",Z174&lt;TODAY()),"متأخر عن موعد التوصيل",IF(AND(X174="تم التوصيل",W174&gt;0),"حصّل المبلغ المتبقي",IF(AND(X174="تم التوصيل",AD174="موافق",OR(AF174="",AF174="لم يُطلب")),"ابعت لينك الفيدباك",IF(AND(AF174="تم إرسال الرابط",AE174&lt;&gt;"",TODAY()-AE174&gt;=3),"تابع الفيدباك","لا يوجد إجراء عاجل")))))))</x:f>
      </x:c>
    </x:row>
    <x:row r="175" ht="31" customHeight="1">
      <x:c r="A175" s="41"/>
      <x:c r="B175" s="46"/>
      <x:c r="C175" s="41"/>
      <x:c r="D175" s="41"/>
      <x:c r="E175" s="50"/>
      <x:c r="F175" s="41"/>
      <x:c r="G175" s="41"/>
      <x:c r="H175" s="41"/>
      <x:c r="I175" s="52"/>
      <x:c r="J175" s="52"/>
      <x:c r="K175" s="53" t="str">
        <x:f>IF(A175="","",I175+J175)</x:f>
      </x:c>
      <x:c r="L175" s="55" t="str">
        <x:f>IF(A175="","",IF(H175="عرض 2 بـ120",'القوائم والإعدادات'!$B$6/2,IF(H175="عينة",0,'القوائم والإعدادات'!$B$5)))</x:f>
      </x:c>
      <x:c r="M175" s="55" t="str">
        <x:f>IF(A175="","",K175*L175)</x:f>
      </x:c>
      <x:c r="N175" s="56"/>
      <x:c r="O175" s="56"/>
      <x:c r="P175" s="56"/>
      <x:c r="Q175" s="55" t="str">
        <x:f>IF(A175="","",MAX(0,M175-N175+O175))</x:f>
      </x:c>
      <x:c r="R175" s="55" t="str">
        <x:f>IF(A175="","",I175*'المخزون'!$L$6+J175*'المخزون'!$L$7)</x:f>
      </x:c>
      <x:c r="S175" s="55" t="str">
        <x:f>IF(A175="","",Q175-R175-P175)</x:f>
      </x:c>
      <x:c r="T175" s="41"/>
      <x:c r="U175" s="41"/>
      <x:c r="V175" s="56"/>
      <x:c r="W175" s="55" t="str">
        <x:f>IF(A175="","",MAX(0,Q175-V175))</x:f>
      </x:c>
      <x:c r="X175" s="41"/>
      <x:c r="Y175" s="41"/>
      <x:c r="Z175" s="48"/>
      <x:c r="AA175" s="48"/>
      <x:c r="AB175" s="41"/>
      <x:c r="AC175" s="41"/>
      <x:c r="AD175" s="41"/>
      <x:c r="AE175" s="48"/>
      <x:c r="AF175" s="41"/>
      <x:c r="AG175" s="58" t="str">
        <x:f>IF(A175="","",IFERROR(VLOOKUP(A175,'الفيدباك'!$C$7:$G$206,5,FALSE),""))</x:f>
      </x:c>
      <x:c r="AH175" s="42" t="str">
        <x:f>IF(A175="","",IFERROR(VLOOKUP(A175,'الفيدباك'!$C$7:$L$206,10,FALSE),""))</x:f>
      </x:c>
      <x:c r="AI175" s="41"/>
      <x:c r="AJ175" s="42" t="str">
        <x:f>IF(A175="","",IF(A175="مثال-احذفه","صف توضيحي - احذفه قبل البدء",IF(X175="","حدّث حالة الطلب",IF(AND(X175&lt;&gt;"تم التوصيل",X175&lt;&gt;"ملغي",X175&lt;&gt;"مرتجع",Z175&lt;&gt;"",Z175&lt;TODAY()),"متأخر عن موعد التوصيل",IF(AND(X175="تم التوصيل",W175&gt;0),"حصّل المبلغ المتبقي",IF(AND(X175="تم التوصيل",AD175="موافق",OR(AF175="",AF175="لم يُطلب")),"ابعت لينك الفيدباك",IF(AND(AF175="تم إرسال الرابط",AE175&lt;&gt;"",TODAY()-AE175&gt;=3),"تابع الفيدباك","لا يوجد إجراء عاجل")))))))</x:f>
      </x:c>
    </x:row>
    <x:row r="176" ht="31" customHeight="1">
      <x:c r="A176" s="41"/>
      <x:c r="B176" s="46"/>
      <x:c r="C176" s="41"/>
      <x:c r="D176" s="41"/>
      <x:c r="E176" s="50"/>
      <x:c r="F176" s="41"/>
      <x:c r="G176" s="41"/>
      <x:c r="H176" s="41"/>
      <x:c r="I176" s="52"/>
      <x:c r="J176" s="52"/>
      <x:c r="K176" s="53" t="str">
        <x:f>IF(A176="","",I176+J176)</x:f>
      </x:c>
      <x:c r="L176" s="55" t="str">
        <x:f>IF(A176="","",IF(H176="عرض 2 بـ120",'القوائم والإعدادات'!$B$6/2,IF(H176="عينة",0,'القوائم والإعدادات'!$B$5)))</x:f>
      </x:c>
      <x:c r="M176" s="55" t="str">
        <x:f>IF(A176="","",K176*L176)</x:f>
      </x:c>
      <x:c r="N176" s="56"/>
      <x:c r="O176" s="56"/>
      <x:c r="P176" s="56"/>
      <x:c r="Q176" s="55" t="str">
        <x:f>IF(A176="","",MAX(0,M176-N176+O176))</x:f>
      </x:c>
      <x:c r="R176" s="55" t="str">
        <x:f>IF(A176="","",I176*'المخزون'!$L$6+J176*'المخزون'!$L$7)</x:f>
      </x:c>
      <x:c r="S176" s="55" t="str">
        <x:f>IF(A176="","",Q176-R176-P176)</x:f>
      </x:c>
      <x:c r="T176" s="41"/>
      <x:c r="U176" s="41"/>
      <x:c r="V176" s="56"/>
      <x:c r="W176" s="55" t="str">
        <x:f>IF(A176="","",MAX(0,Q176-V176))</x:f>
      </x:c>
      <x:c r="X176" s="41"/>
      <x:c r="Y176" s="41"/>
      <x:c r="Z176" s="48"/>
      <x:c r="AA176" s="48"/>
      <x:c r="AB176" s="41"/>
      <x:c r="AC176" s="41"/>
      <x:c r="AD176" s="41"/>
      <x:c r="AE176" s="48"/>
      <x:c r="AF176" s="41"/>
      <x:c r="AG176" s="58" t="str">
        <x:f>IF(A176="","",IFERROR(VLOOKUP(A176,'الفيدباك'!$C$7:$G$206,5,FALSE),""))</x:f>
      </x:c>
      <x:c r="AH176" s="42" t="str">
        <x:f>IF(A176="","",IFERROR(VLOOKUP(A176,'الفيدباك'!$C$7:$L$206,10,FALSE),""))</x:f>
      </x:c>
      <x:c r="AI176" s="41"/>
      <x:c r="AJ176" s="42" t="str">
        <x:f>IF(A176="","",IF(A176="مثال-احذفه","صف توضيحي - احذفه قبل البدء",IF(X176="","حدّث حالة الطلب",IF(AND(X176&lt;&gt;"تم التوصيل",X176&lt;&gt;"ملغي",X176&lt;&gt;"مرتجع",Z176&lt;&gt;"",Z176&lt;TODAY()),"متأخر عن موعد التوصيل",IF(AND(X176="تم التوصيل",W176&gt;0),"حصّل المبلغ المتبقي",IF(AND(X176="تم التوصيل",AD176="موافق",OR(AF176="",AF176="لم يُطلب")),"ابعت لينك الفيدباك",IF(AND(AF176="تم إرسال الرابط",AE176&lt;&gt;"",TODAY()-AE176&gt;=3),"تابع الفيدباك","لا يوجد إجراء عاجل")))))))</x:f>
      </x:c>
    </x:row>
    <x:row r="177" ht="31" customHeight="1">
      <x:c r="A177" s="41"/>
      <x:c r="B177" s="46"/>
      <x:c r="C177" s="41"/>
      <x:c r="D177" s="41"/>
      <x:c r="E177" s="50"/>
      <x:c r="F177" s="41"/>
      <x:c r="G177" s="41"/>
      <x:c r="H177" s="41"/>
      <x:c r="I177" s="52"/>
      <x:c r="J177" s="52"/>
      <x:c r="K177" s="53" t="str">
        <x:f>IF(A177="","",I177+J177)</x:f>
      </x:c>
      <x:c r="L177" s="55" t="str">
        <x:f>IF(A177="","",IF(H177="عرض 2 بـ120",'القوائم والإعدادات'!$B$6/2,IF(H177="عينة",0,'القوائم والإعدادات'!$B$5)))</x:f>
      </x:c>
      <x:c r="M177" s="55" t="str">
        <x:f>IF(A177="","",K177*L177)</x:f>
      </x:c>
      <x:c r="N177" s="56"/>
      <x:c r="O177" s="56"/>
      <x:c r="P177" s="56"/>
      <x:c r="Q177" s="55" t="str">
        <x:f>IF(A177="","",MAX(0,M177-N177+O177))</x:f>
      </x:c>
      <x:c r="R177" s="55" t="str">
        <x:f>IF(A177="","",I177*'المخزون'!$L$6+J177*'المخزون'!$L$7)</x:f>
      </x:c>
      <x:c r="S177" s="55" t="str">
        <x:f>IF(A177="","",Q177-R177-P177)</x:f>
      </x:c>
      <x:c r="T177" s="41"/>
      <x:c r="U177" s="41"/>
      <x:c r="V177" s="56"/>
      <x:c r="W177" s="55" t="str">
        <x:f>IF(A177="","",MAX(0,Q177-V177))</x:f>
      </x:c>
      <x:c r="X177" s="41"/>
      <x:c r="Y177" s="41"/>
      <x:c r="Z177" s="48"/>
      <x:c r="AA177" s="48"/>
      <x:c r="AB177" s="41"/>
      <x:c r="AC177" s="41"/>
      <x:c r="AD177" s="41"/>
      <x:c r="AE177" s="48"/>
      <x:c r="AF177" s="41"/>
      <x:c r="AG177" s="58" t="str">
        <x:f>IF(A177="","",IFERROR(VLOOKUP(A177,'الفيدباك'!$C$7:$G$206,5,FALSE),""))</x:f>
      </x:c>
      <x:c r="AH177" s="42" t="str">
        <x:f>IF(A177="","",IFERROR(VLOOKUP(A177,'الفيدباك'!$C$7:$L$206,10,FALSE),""))</x:f>
      </x:c>
      <x:c r="AI177" s="41"/>
      <x:c r="AJ177" s="42" t="str">
        <x:f>IF(A177="","",IF(A177="مثال-احذفه","صف توضيحي - احذفه قبل البدء",IF(X177="","حدّث حالة الطلب",IF(AND(X177&lt;&gt;"تم التوصيل",X177&lt;&gt;"ملغي",X177&lt;&gt;"مرتجع",Z177&lt;&gt;"",Z177&lt;TODAY()),"متأخر عن موعد التوصيل",IF(AND(X177="تم التوصيل",W177&gt;0),"حصّل المبلغ المتبقي",IF(AND(X177="تم التوصيل",AD177="موافق",OR(AF177="",AF177="لم يُطلب")),"ابعت لينك الفيدباك",IF(AND(AF177="تم إرسال الرابط",AE177&lt;&gt;"",TODAY()-AE177&gt;=3),"تابع الفيدباك","لا يوجد إجراء عاجل")))))))</x:f>
      </x:c>
    </x:row>
    <x:row r="178" ht="31" customHeight="1">
      <x:c r="A178" s="41"/>
      <x:c r="B178" s="46"/>
      <x:c r="C178" s="41"/>
      <x:c r="D178" s="41"/>
      <x:c r="E178" s="50"/>
      <x:c r="F178" s="41"/>
      <x:c r="G178" s="41"/>
      <x:c r="H178" s="41"/>
      <x:c r="I178" s="52"/>
      <x:c r="J178" s="52"/>
      <x:c r="K178" s="53" t="str">
        <x:f>IF(A178="","",I178+J178)</x:f>
      </x:c>
      <x:c r="L178" s="55" t="str">
        <x:f>IF(A178="","",IF(H178="عرض 2 بـ120",'القوائم والإعدادات'!$B$6/2,IF(H178="عينة",0,'القوائم والإعدادات'!$B$5)))</x:f>
      </x:c>
      <x:c r="M178" s="55" t="str">
        <x:f>IF(A178="","",K178*L178)</x:f>
      </x:c>
      <x:c r="N178" s="56"/>
      <x:c r="O178" s="56"/>
      <x:c r="P178" s="56"/>
      <x:c r="Q178" s="55" t="str">
        <x:f>IF(A178="","",MAX(0,M178-N178+O178))</x:f>
      </x:c>
      <x:c r="R178" s="55" t="str">
        <x:f>IF(A178="","",I178*'المخزون'!$L$6+J178*'المخزون'!$L$7)</x:f>
      </x:c>
      <x:c r="S178" s="55" t="str">
        <x:f>IF(A178="","",Q178-R178-P178)</x:f>
      </x:c>
      <x:c r="T178" s="41"/>
      <x:c r="U178" s="41"/>
      <x:c r="V178" s="56"/>
      <x:c r="W178" s="55" t="str">
        <x:f>IF(A178="","",MAX(0,Q178-V178))</x:f>
      </x:c>
      <x:c r="X178" s="41"/>
      <x:c r="Y178" s="41"/>
      <x:c r="Z178" s="48"/>
      <x:c r="AA178" s="48"/>
      <x:c r="AB178" s="41"/>
      <x:c r="AC178" s="41"/>
      <x:c r="AD178" s="41"/>
      <x:c r="AE178" s="48"/>
      <x:c r="AF178" s="41"/>
      <x:c r="AG178" s="58" t="str">
        <x:f>IF(A178="","",IFERROR(VLOOKUP(A178,'الفيدباك'!$C$7:$G$206,5,FALSE),""))</x:f>
      </x:c>
      <x:c r="AH178" s="42" t="str">
        <x:f>IF(A178="","",IFERROR(VLOOKUP(A178,'الفيدباك'!$C$7:$L$206,10,FALSE),""))</x:f>
      </x:c>
      <x:c r="AI178" s="41"/>
      <x:c r="AJ178" s="42" t="str">
        <x:f>IF(A178="","",IF(A178="مثال-احذفه","صف توضيحي - احذفه قبل البدء",IF(X178="","حدّث حالة الطلب",IF(AND(X178&lt;&gt;"تم التوصيل",X178&lt;&gt;"ملغي",X178&lt;&gt;"مرتجع",Z178&lt;&gt;"",Z178&lt;TODAY()),"متأخر عن موعد التوصيل",IF(AND(X178="تم التوصيل",W178&gt;0),"حصّل المبلغ المتبقي",IF(AND(X178="تم التوصيل",AD178="موافق",OR(AF178="",AF178="لم يُطلب")),"ابعت لينك الفيدباك",IF(AND(AF178="تم إرسال الرابط",AE178&lt;&gt;"",TODAY()-AE178&gt;=3),"تابع الفيدباك","لا يوجد إجراء عاجل")))))))</x:f>
      </x:c>
    </x:row>
    <x:row r="179" ht="31" customHeight="1">
      <x:c r="A179" s="41"/>
      <x:c r="B179" s="46"/>
      <x:c r="C179" s="41"/>
      <x:c r="D179" s="41"/>
      <x:c r="E179" s="50"/>
      <x:c r="F179" s="41"/>
      <x:c r="G179" s="41"/>
      <x:c r="H179" s="41"/>
      <x:c r="I179" s="52"/>
      <x:c r="J179" s="52"/>
      <x:c r="K179" s="53" t="str">
        <x:f>IF(A179="","",I179+J179)</x:f>
      </x:c>
      <x:c r="L179" s="55" t="str">
        <x:f>IF(A179="","",IF(H179="عرض 2 بـ120",'القوائم والإعدادات'!$B$6/2,IF(H179="عينة",0,'القوائم والإعدادات'!$B$5)))</x:f>
      </x:c>
      <x:c r="M179" s="55" t="str">
        <x:f>IF(A179="","",K179*L179)</x:f>
      </x:c>
      <x:c r="N179" s="56"/>
      <x:c r="O179" s="56"/>
      <x:c r="P179" s="56"/>
      <x:c r="Q179" s="55" t="str">
        <x:f>IF(A179="","",MAX(0,M179-N179+O179))</x:f>
      </x:c>
      <x:c r="R179" s="55" t="str">
        <x:f>IF(A179="","",I179*'المخزون'!$L$6+J179*'المخزون'!$L$7)</x:f>
      </x:c>
      <x:c r="S179" s="55" t="str">
        <x:f>IF(A179="","",Q179-R179-P179)</x:f>
      </x:c>
      <x:c r="T179" s="41"/>
      <x:c r="U179" s="41"/>
      <x:c r="V179" s="56"/>
      <x:c r="W179" s="55" t="str">
        <x:f>IF(A179="","",MAX(0,Q179-V179))</x:f>
      </x:c>
      <x:c r="X179" s="41"/>
      <x:c r="Y179" s="41"/>
      <x:c r="Z179" s="48"/>
      <x:c r="AA179" s="48"/>
      <x:c r="AB179" s="41"/>
      <x:c r="AC179" s="41"/>
      <x:c r="AD179" s="41"/>
      <x:c r="AE179" s="48"/>
      <x:c r="AF179" s="41"/>
      <x:c r="AG179" s="58" t="str">
        <x:f>IF(A179="","",IFERROR(VLOOKUP(A179,'الفيدباك'!$C$7:$G$206,5,FALSE),""))</x:f>
      </x:c>
      <x:c r="AH179" s="42" t="str">
        <x:f>IF(A179="","",IFERROR(VLOOKUP(A179,'الفيدباك'!$C$7:$L$206,10,FALSE),""))</x:f>
      </x:c>
      <x:c r="AI179" s="41"/>
      <x:c r="AJ179" s="42" t="str">
        <x:f>IF(A179="","",IF(A179="مثال-احذفه","صف توضيحي - احذفه قبل البدء",IF(X179="","حدّث حالة الطلب",IF(AND(X179&lt;&gt;"تم التوصيل",X179&lt;&gt;"ملغي",X179&lt;&gt;"مرتجع",Z179&lt;&gt;"",Z179&lt;TODAY()),"متأخر عن موعد التوصيل",IF(AND(X179="تم التوصيل",W179&gt;0),"حصّل المبلغ المتبقي",IF(AND(X179="تم التوصيل",AD179="موافق",OR(AF179="",AF179="لم يُطلب")),"ابعت لينك الفيدباك",IF(AND(AF179="تم إرسال الرابط",AE179&lt;&gt;"",TODAY()-AE179&gt;=3),"تابع الفيدباك","لا يوجد إجراء عاجل")))))))</x:f>
      </x:c>
    </x:row>
    <x:row r="180" ht="31" customHeight="1">
      <x:c r="A180" s="41"/>
      <x:c r="B180" s="46"/>
      <x:c r="C180" s="41"/>
      <x:c r="D180" s="41"/>
      <x:c r="E180" s="50"/>
      <x:c r="F180" s="41"/>
      <x:c r="G180" s="41"/>
      <x:c r="H180" s="41"/>
      <x:c r="I180" s="52"/>
      <x:c r="J180" s="52"/>
      <x:c r="K180" s="53" t="str">
        <x:f>IF(A180="","",I180+J180)</x:f>
      </x:c>
      <x:c r="L180" s="55" t="str">
        <x:f>IF(A180="","",IF(H180="عرض 2 بـ120",'القوائم والإعدادات'!$B$6/2,IF(H180="عينة",0,'القوائم والإعدادات'!$B$5)))</x:f>
      </x:c>
      <x:c r="M180" s="55" t="str">
        <x:f>IF(A180="","",K180*L180)</x:f>
      </x:c>
      <x:c r="N180" s="56"/>
      <x:c r="O180" s="56"/>
      <x:c r="P180" s="56"/>
      <x:c r="Q180" s="55" t="str">
        <x:f>IF(A180="","",MAX(0,M180-N180+O180))</x:f>
      </x:c>
      <x:c r="R180" s="55" t="str">
        <x:f>IF(A180="","",I180*'المخزون'!$L$6+J180*'المخزون'!$L$7)</x:f>
      </x:c>
      <x:c r="S180" s="55" t="str">
        <x:f>IF(A180="","",Q180-R180-P180)</x:f>
      </x:c>
      <x:c r="T180" s="41"/>
      <x:c r="U180" s="41"/>
      <x:c r="V180" s="56"/>
      <x:c r="W180" s="55" t="str">
        <x:f>IF(A180="","",MAX(0,Q180-V180))</x:f>
      </x:c>
      <x:c r="X180" s="41"/>
      <x:c r="Y180" s="41"/>
      <x:c r="Z180" s="48"/>
      <x:c r="AA180" s="48"/>
      <x:c r="AB180" s="41"/>
      <x:c r="AC180" s="41"/>
      <x:c r="AD180" s="41"/>
      <x:c r="AE180" s="48"/>
      <x:c r="AF180" s="41"/>
      <x:c r="AG180" s="58" t="str">
        <x:f>IF(A180="","",IFERROR(VLOOKUP(A180,'الفيدباك'!$C$7:$G$206,5,FALSE),""))</x:f>
      </x:c>
      <x:c r="AH180" s="42" t="str">
        <x:f>IF(A180="","",IFERROR(VLOOKUP(A180,'الفيدباك'!$C$7:$L$206,10,FALSE),""))</x:f>
      </x:c>
      <x:c r="AI180" s="41"/>
      <x:c r="AJ180" s="42" t="str">
        <x:f>IF(A180="","",IF(A180="مثال-احذفه","صف توضيحي - احذفه قبل البدء",IF(X180="","حدّث حالة الطلب",IF(AND(X180&lt;&gt;"تم التوصيل",X180&lt;&gt;"ملغي",X180&lt;&gt;"مرتجع",Z180&lt;&gt;"",Z180&lt;TODAY()),"متأخر عن موعد التوصيل",IF(AND(X180="تم التوصيل",W180&gt;0),"حصّل المبلغ المتبقي",IF(AND(X180="تم التوصيل",AD180="موافق",OR(AF180="",AF180="لم يُطلب")),"ابعت لينك الفيدباك",IF(AND(AF180="تم إرسال الرابط",AE180&lt;&gt;"",TODAY()-AE180&gt;=3),"تابع الفيدباك","لا يوجد إجراء عاجل")))))))</x:f>
      </x:c>
    </x:row>
    <x:row r="181" ht="31" customHeight="1">
      <x:c r="A181" s="41"/>
      <x:c r="B181" s="46"/>
      <x:c r="C181" s="41"/>
      <x:c r="D181" s="41"/>
      <x:c r="E181" s="50"/>
      <x:c r="F181" s="41"/>
      <x:c r="G181" s="41"/>
      <x:c r="H181" s="41"/>
      <x:c r="I181" s="52"/>
      <x:c r="J181" s="52"/>
      <x:c r="K181" s="53" t="str">
        <x:f>IF(A181="","",I181+J181)</x:f>
      </x:c>
      <x:c r="L181" s="55" t="str">
        <x:f>IF(A181="","",IF(H181="عرض 2 بـ120",'القوائم والإعدادات'!$B$6/2,IF(H181="عينة",0,'القوائم والإعدادات'!$B$5)))</x:f>
      </x:c>
      <x:c r="M181" s="55" t="str">
        <x:f>IF(A181="","",K181*L181)</x:f>
      </x:c>
      <x:c r="N181" s="56"/>
      <x:c r="O181" s="56"/>
      <x:c r="P181" s="56"/>
      <x:c r="Q181" s="55" t="str">
        <x:f>IF(A181="","",MAX(0,M181-N181+O181))</x:f>
      </x:c>
      <x:c r="R181" s="55" t="str">
        <x:f>IF(A181="","",I181*'المخزون'!$L$6+J181*'المخزون'!$L$7)</x:f>
      </x:c>
      <x:c r="S181" s="55" t="str">
        <x:f>IF(A181="","",Q181-R181-P181)</x:f>
      </x:c>
      <x:c r="T181" s="41"/>
      <x:c r="U181" s="41"/>
      <x:c r="V181" s="56"/>
      <x:c r="W181" s="55" t="str">
        <x:f>IF(A181="","",MAX(0,Q181-V181))</x:f>
      </x:c>
      <x:c r="X181" s="41"/>
      <x:c r="Y181" s="41"/>
      <x:c r="Z181" s="48"/>
      <x:c r="AA181" s="48"/>
      <x:c r="AB181" s="41"/>
      <x:c r="AC181" s="41"/>
      <x:c r="AD181" s="41"/>
      <x:c r="AE181" s="48"/>
      <x:c r="AF181" s="41"/>
      <x:c r="AG181" s="58" t="str">
        <x:f>IF(A181="","",IFERROR(VLOOKUP(A181,'الفيدباك'!$C$7:$G$206,5,FALSE),""))</x:f>
      </x:c>
      <x:c r="AH181" s="42" t="str">
        <x:f>IF(A181="","",IFERROR(VLOOKUP(A181,'الفيدباك'!$C$7:$L$206,10,FALSE),""))</x:f>
      </x:c>
      <x:c r="AI181" s="41"/>
      <x:c r="AJ181" s="42" t="str">
        <x:f>IF(A181="","",IF(A181="مثال-احذفه","صف توضيحي - احذفه قبل البدء",IF(X181="","حدّث حالة الطلب",IF(AND(X181&lt;&gt;"تم التوصيل",X181&lt;&gt;"ملغي",X181&lt;&gt;"مرتجع",Z181&lt;&gt;"",Z181&lt;TODAY()),"متأخر عن موعد التوصيل",IF(AND(X181="تم التوصيل",W181&gt;0),"حصّل المبلغ المتبقي",IF(AND(X181="تم التوصيل",AD181="موافق",OR(AF181="",AF181="لم يُطلب")),"ابعت لينك الفيدباك",IF(AND(AF181="تم إرسال الرابط",AE181&lt;&gt;"",TODAY()-AE181&gt;=3),"تابع الفيدباك","لا يوجد إجراء عاجل")))))))</x:f>
      </x:c>
    </x:row>
    <x:row r="182" ht="31" customHeight="1">
      <x:c r="A182" s="41"/>
      <x:c r="B182" s="46"/>
      <x:c r="C182" s="41"/>
      <x:c r="D182" s="41"/>
      <x:c r="E182" s="50"/>
      <x:c r="F182" s="41"/>
      <x:c r="G182" s="41"/>
      <x:c r="H182" s="41"/>
      <x:c r="I182" s="52"/>
      <x:c r="J182" s="52"/>
      <x:c r="K182" s="53" t="str">
        <x:f>IF(A182="","",I182+J182)</x:f>
      </x:c>
      <x:c r="L182" s="55" t="str">
        <x:f>IF(A182="","",IF(H182="عرض 2 بـ120",'القوائم والإعدادات'!$B$6/2,IF(H182="عينة",0,'القوائم والإعدادات'!$B$5)))</x:f>
      </x:c>
      <x:c r="M182" s="55" t="str">
        <x:f>IF(A182="","",K182*L182)</x:f>
      </x:c>
      <x:c r="N182" s="56"/>
      <x:c r="O182" s="56"/>
      <x:c r="P182" s="56"/>
      <x:c r="Q182" s="55" t="str">
        <x:f>IF(A182="","",MAX(0,M182-N182+O182))</x:f>
      </x:c>
      <x:c r="R182" s="55" t="str">
        <x:f>IF(A182="","",I182*'المخزون'!$L$6+J182*'المخزون'!$L$7)</x:f>
      </x:c>
      <x:c r="S182" s="55" t="str">
        <x:f>IF(A182="","",Q182-R182-P182)</x:f>
      </x:c>
      <x:c r="T182" s="41"/>
      <x:c r="U182" s="41"/>
      <x:c r="V182" s="56"/>
      <x:c r="W182" s="55" t="str">
        <x:f>IF(A182="","",MAX(0,Q182-V182))</x:f>
      </x:c>
      <x:c r="X182" s="41"/>
      <x:c r="Y182" s="41"/>
      <x:c r="Z182" s="48"/>
      <x:c r="AA182" s="48"/>
      <x:c r="AB182" s="41"/>
      <x:c r="AC182" s="41"/>
      <x:c r="AD182" s="41"/>
      <x:c r="AE182" s="48"/>
      <x:c r="AF182" s="41"/>
      <x:c r="AG182" s="58" t="str">
        <x:f>IF(A182="","",IFERROR(VLOOKUP(A182,'الفيدباك'!$C$7:$G$206,5,FALSE),""))</x:f>
      </x:c>
      <x:c r="AH182" s="42" t="str">
        <x:f>IF(A182="","",IFERROR(VLOOKUP(A182,'الفيدباك'!$C$7:$L$206,10,FALSE),""))</x:f>
      </x:c>
      <x:c r="AI182" s="41"/>
      <x:c r="AJ182" s="42" t="str">
        <x:f>IF(A182="","",IF(A182="مثال-احذفه","صف توضيحي - احذفه قبل البدء",IF(X182="","حدّث حالة الطلب",IF(AND(X182&lt;&gt;"تم التوصيل",X182&lt;&gt;"ملغي",X182&lt;&gt;"مرتجع",Z182&lt;&gt;"",Z182&lt;TODAY()),"متأخر عن موعد التوصيل",IF(AND(X182="تم التوصيل",W182&gt;0),"حصّل المبلغ المتبقي",IF(AND(X182="تم التوصيل",AD182="موافق",OR(AF182="",AF182="لم يُطلب")),"ابعت لينك الفيدباك",IF(AND(AF182="تم إرسال الرابط",AE182&lt;&gt;"",TODAY()-AE182&gt;=3),"تابع الفيدباك","لا يوجد إجراء عاجل")))))))</x:f>
      </x:c>
    </x:row>
    <x:row r="183" ht="31" customHeight="1">
      <x:c r="A183" s="41"/>
      <x:c r="B183" s="46"/>
      <x:c r="C183" s="41"/>
      <x:c r="D183" s="41"/>
      <x:c r="E183" s="50"/>
      <x:c r="F183" s="41"/>
      <x:c r="G183" s="41"/>
      <x:c r="H183" s="41"/>
      <x:c r="I183" s="52"/>
      <x:c r="J183" s="52"/>
      <x:c r="K183" s="53" t="str">
        <x:f>IF(A183="","",I183+J183)</x:f>
      </x:c>
      <x:c r="L183" s="55" t="str">
        <x:f>IF(A183="","",IF(H183="عرض 2 بـ120",'القوائم والإعدادات'!$B$6/2,IF(H183="عينة",0,'القوائم والإعدادات'!$B$5)))</x:f>
      </x:c>
      <x:c r="M183" s="55" t="str">
        <x:f>IF(A183="","",K183*L183)</x:f>
      </x:c>
      <x:c r="N183" s="56"/>
      <x:c r="O183" s="56"/>
      <x:c r="P183" s="56"/>
      <x:c r="Q183" s="55" t="str">
        <x:f>IF(A183="","",MAX(0,M183-N183+O183))</x:f>
      </x:c>
      <x:c r="R183" s="55" t="str">
        <x:f>IF(A183="","",I183*'المخزون'!$L$6+J183*'المخزون'!$L$7)</x:f>
      </x:c>
      <x:c r="S183" s="55" t="str">
        <x:f>IF(A183="","",Q183-R183-P183)</x:f>
      </x:c>
      <x:c r="T183" s="41"/>
      <x:c r="U183" s="41"/>
      <x:c r="V183" s="56"/>
      <x:c r="W183" s="55" t="str">
        <x:f>IF(A183="","",MAX(0,Q183-V183))</x:f>
      </x:c>
      <x:c r="X183" s="41"/>
      <x:c r="Y183" s="41"/>
      <x:c r="Z183" s="48"/>
      <x:c r="AA183" s="48"/>
      <x:c r="AB183" s="41"/>
      <x:c r="AC183" s="41"/>
      <x:c r="AD183" s="41"/>
      <x:c r="AE183" s="48"/>
      <x:c r="AF183" s="41"/>
      <x:c r="AG183" s="58" t="str">
        <x:f>IF(A183="","",IFERROR(VLOOKUP(A183,'الفيدباك'!$C$7:$G$206,5,FALSE),""))</x:f>
      </x:c>
      <x:c r="AH183" s="42" t="str">
        <x:f>IF(A183="","",IFERROR(VLOOKUP(A183,'الفيدباك'!$C$7:$L$206,10,FALSE),""))</x:f>
      </x:c>
      <x:c r="AI183" s="41"/>
      <x:c r="AJ183" s="42" t="str">
        <x:f>IF(A183="","",IF(A183="مثال-احذفه","صف توضيحي - احذفه قبل البدء",IF(X183="","حدّث حالة الطلب",IF(AND(X183&lt;&gt;"تم التوصيل",X183&lt;&gt;"ملغي",X183&lt;&gt;"مرتجع",Z183&lt;&gt;"",Z183&lt;TODAY()),"متأخر عن موعد التوصيل",IF(AND(X183="تم التوصيل",W183&gt;0),"حصّل المبلغ المتبقي",IF(AND(X183="تم التوصيل",AD183="موافق",OR(AF183="",AF183="لم يُطلب")),"ابعت لينك الفيدباك",IF(AND(AF183="تم إرسال الرابط",AE183&lt;&gt;"",TODAY()-AE183&gt;=3),"تابع الفيدباك","لا يوجد إجراء عاجل")))))))</x:f>
      </x:c>
    </x:row>
    <x:row r="184" ht="31" customHeight="1">
      <x:c r="A184" s="41"/>
      <x:c r="B184" s="46"/>
      <x:c r="C184" s="41"/>
      <x:c r="D184" s="41"/>
      <x:c r="E184" s="50"/>
      <x:c r="F184" s="41"/>
      <x:c r="G184" s="41"/>
      <x:c r="H184" s="41"/>
      <x:c r="I184" s="52"/>
      <x:c r="J184" s="52"/>
      <x:c r="K184" s="53" t="str">
        <x:f>IF(A184="","",I184+J184)</x:f>
      </x:c>
      <x:c r="L184" s="55" t="str">
        <x:f>IF(A184="","",IF(H184="عرض 2 بـ120",'القوائم والإعدادات'!$B$6/2,IF(H184="عينة",0,'القوائم والإعدادات'!$B$5)))</x:f>
      </x:c>
      <x:c r="M184" s="55" t="str">
        <x:f>IF(A184="","",K184*L184)</x:f>
      </x:c>
      <x:c r="N184" s="56"/>
      <x:c r="O184" s="56"/>
      <x:c r="P184" s="56"/>
      <x:c r="Q184" s="55" t="str">
        <x:f>IF(A184="","",MAX(0,M184-N184+O184))</x:f>
      </x:c>
      <x:c r="R184" s="55" t="str">
        <x:f>IF(A184="","",I184*'المخزون'!$L$6+J184*'المخزون'!$L$7)</x:f>
      </x:c>
      <x:c r="S184" s="55" t="str">
        <x:f>IF(A184="","",Q184-R184-P184)</x:f>
      </x:c>
      <x:c r="T184" s="41"/>
      <x:c r="U184" s="41"/>
      <x:c r="V184" s="56"/>
      <x:c r="W184" s="55" t="str">
        <x:f>IF(A184="","",MAX(0,Q184-V184))</x:f>
      </x:c>
      <x:c r="X184" s="41"/>
      <x:c r="Y184" s="41"/>
      <x:c r="Z184" s="48"/>
      <x:c r="AA184" s="48"/>
      <x:c r="AB184" s="41"/>
      <x:c r="AC184" s="41"/>
      <x:c r="AD184" s="41"/>
      <x:c r="AE184" s="48"/>
      <x:c r="AF184" s="41"/>
      <x:c r="AG184" s="58" t="str">
        <x:f>IF(A184="","",IFERROR(VLOOKUP(A184,'الفيدباك'!$C$7:$G$206,5,FALSE),""))</x:f>
      </x:c>
      <x:c r="AH184" s="42" t="str">
        <x:f>IF(A184="","",IFERROR(VLOOKUP(A184,'الفيدباك'!$C$7:$L$206,10,FALSE),""))</x:f>
      </x:c>
      <x:c r="AI184" s="41"/>
      <x:c r="AJ184" s="42" t="str">
        <x:f>IF(A184="","",IF(A184="مثال-احذفه","صف توضيحي - احذفه قبل البدء",IF(X184="","حدّث حالة الطلب",IF(AND(X184&lt;&gt;"تم التوصيل",X184&lt;&gt;"ملغي",X184&lt;&gt;"مرتجع",Z184&lt;&gt;"",Z184&lt;TODAY()),"متأخر عن موعد التوصيل",IF(AND(X184="تم التوصيل",W184&gt;0),"حصّل المبلغ المتبقي",IF(AND(X184="تم التوصيل",AD184="موافق",OR(AF184="",AF184="لم يُطلب")),"ابعت لينك الفيدباك",IF(AND(AF184="تم إرسال الرابط",AE184&lt;&gt;"",TODAY()-AE184&gt;=3),"تابع الفيدباك","لا يوجد إجراء عاجل")))))))</x:f>
      </x:c>
    </x:row>
    <x:row r="185" ht="31" customHeight="1">
      <x:c r="A185" s="41"/>
      <x:c r="B185" s="46"/>
      <x:c r="C185" s="41"/>
      <x:c r="D185" s="41"/>
      <x:c r="E185" s="50"/>
      <x:c r="F185" s="41"/>
      <x:c r="G185" s="41"/>
      <x:c r="H185" s="41"/>
      <x:c r="I185" s="52"/>
      <x:c r="J185" s="52"/>
      <x:c r="K185" s="53" t="str">
        <x:f>IF(A185="","",I185+J185)</x:f>
      </x:c>
      <x:c r="L185" s="55" t="str">
        <x:f>IF(A185="","",IF(H185="عرض 2 بـ120",'القوائم والإعدادات'!$B$6/2,IF(H185="عينة",0,'القوائم والإعدادات'!$B$5)))</x:f>
      </x:c>
      <x:c r="M185" s="55" t="str">
        <x:f>IF(A185="","",K185*L185)</x:f>
      </x:c>
      <x:c r="N185" s="56"/>
      <x:c r="O185" s="56"/>
      <x:c r="P185" s="56"/>
      <x:c r="Q185" s="55" t="str">
        <x:f>IF(A185="","",MAX(0,M185-N185+O185))</x:f>
      </x:c>
      <x:c r="R185" s="55" t="str">
        <x:f>IF(A185="","",I185*'المخزون'!$L$6+J185*'المخزون'!$L$7)</x:f>
      </x:c>
      <x:c r="S185" s="55" t="str">
        <x:f>IF(A185="","",Q185-R185-P185)</x:f>
      </x:c>
      <x:c r="T185" s="41"/>
      <x:c r="U185" s="41"/>
      <x:c r="V185" s="56"/>
      <x:c r="W185" s="55" t="str">
        <x:f>IF(A185="","",MAX(0,Q185-V185))</x:f>
      </x:c>
      <x:c r="X185" s="41"/>
      <x:c r="Y185" s="41"/>
      <x:c r="Z185" s="48"/>
      <x:c r="AA185" s="48"/>
      <x:c r="AB185" s="41"/>
      <x:c r="AC185" s="41"/>
      <x:c r="AD185" s="41"/>
      <x:c r="AE185" s="48"/>
      <x:c r="AF185" s="41"/>
      <x:c r="AG185" s="58" t="str">
        <x:f>IF(A185="","",IFERROR(VLOOKUP(A185,'الفيدباك'!$C$7:$G$206,5,FALSE),""))</x:f>
      </x:c>
      <x:c r="AH185" s="42" t="str">
        <x:f>IF(A185="","",IFERROR(VLOOKUP(A185,'الفيدباك'!$C$7:$L$206,10,FALSE),""))</x:f>
      </x:c>
      <x:c r="AI185" s="41"/>
      <x:c r="AJ185" s="42" t="str">
        <x:f>IF(A185="","",IF(A185="مثال-احذفه","صف توضيحي - احذفه قبل البدء",IF(X185="","حدّث حالة الطلب",IF(AND(X185&lt;&gt;"تم التوصيل",X185&lt;&gt;"ملغي",X185&lt;&gt;"مرتجع",Z185&lt;&gt;"",Z185&lt;TODAY()),"متأخر عن موعد التوصيل",IF(AND(X185="تم التوصيل",W185&gt;0),"حصّل المبلغ المتبقي",IF(AND(X185="تم التوصيل",AD185="موافق",OR(AF185="",AF185="لم يُطلب")),"ابعت لينك الفيدباك",IF(AND(AF185="تم إرسال الرابط",AE185&lt;&gt;"",TODAY()-AE185&gt;=3),"تابع الفيدباك","لا يوجد إجراء عاجل")))))))</x:f>
      </x:c>
    </x:row>
    <x:row r="186" ht="31" customHeight="1">
      <x:c r="A186" s="41"/>
      <x:c r="B186" s="46"/>
      <x:c r="C186" s="41"/>
      <x:c r="D186" s="41"/>
      <x:c r="E186" s="50"/>
      <x:c r="F186" s="41"/>
      <x:c r="G186" s="41"/>
      <x:c r="H186" s="41"/>
      <x:c r="I186" s="52"/>
      <x:c r="J186" s="52"/>
      <x:c r="K186" s="53" t="str">
        <x:f>IF(A186="","",I186+J186)</x:f>
      </x:c>
      <x:c r="L186" s="55" t="str">
        <x:f>IF(A186="","",IF(H186="عرض 2 بـ120",'القوائم والإعدادات'!$B$6/2,IF(H186="عينة",0,'القوائم والإعدادات'!$B$5)))</x:f>
      </x:c>
      <x:c r="M186" s="55" t="str">
        <x:f>IF(A186="","",K186*L186)</x:f>
      </x:c>
      <x:c r="N186" s="56"/>
      <x:c r="O186" s="56"/>
      <x:c r="P186" s="56"/>
      <x:c r="Q186" s="55" t="str">
        <x:f>IF(A186="","",MAX(0,M186-N186+O186))</x:f>
      </x:c>
      <x:c r="R186" s="55" t="str">
        <x:f>IF(A186="","",I186*'المخزون'!$L$6+J186*'المخزون'!$L$7)</x:f>
      </x:c>
      <x:c r="S186" s="55" t="str">
        <x:f>IF(A186="","",Q186-R186-P186)</x:f>
      </x:c>
      <x:c r="T186" s="41"/>
      <x:c r="U186" s="41"/>
      <x:c r="V186" s="56"/>
      <x:c r="W186" s="55" t="str">
        <x:f>IF(A186="","",MAX(0,Q186-V186))</x:f>
      </x:c>
      <x:c r="X186" s="41"/>
      <x:c r="Y186" s="41"/>
      <x:c r="Z186" s="48"/>
      <x:c r="AA186" s="48"/>
      <x:c r="AB186" s="41"/>
      <x:c r="AC186" s="41"/>
      <x:c r="AD186" s="41"/>
      <x:c r="AE186" s="48"/>
      <x:c r="AF186" s="41"/>
      <x:c r="AG186" s="58" t="str">
        <x:f>IF(A186="","",IFERROR(VLOOKUP(A186,'الفيدباك'!$C$7:$G$206,5,FALSE),""))</x:f>
      </x:c>
      <x:c r="AH186" s="42" t="str">
        <x:f>IF(A186="","",IFERROR(VLOOKUP(A186,'الفيدباك'!$C$7:$L$206,10,FALSE),""))</x:f>
      </x:c>
      <x:c r="AI186" s="41"/>
      <x:c r="AJ186" s="42" t="str">
        <x:f>IF(A186="","",IF(A186="مثال-احذفه","صف توضيحي - احذفه قبل البدء",IF(X186="","حدّث حالة الطلب",IF(AND(X186&lt;&gt;"تم التوصيل",X186&lt;&gt;"ملغي",X186&lt;&gt;"مرتجع",Z186&lt;&gt;"",Z186&lt;TODAY()),"متأخر عن موعد التوصيل",IF(AND(X186="تم التوصيل",W186&gt;0),"حصّل المبلغ المتبقي",IF(AND(X186="تم التوصيل",AD186="موافق",OR(AF186="",AF186="لم يُطلب")),"ابعت لينك الفيدباك",IF(AND(AF186="تم إرسال الرابط",AE186&lt;&gt;"",TODAY()-AE186&gt;=3),"تابع الفيدباك","لا يوجد إجراء عاجل")))))))</x:f>
      </x:c>
    </x:row>
    <x:row r="187" ht="31" customHeight="1">
      <x:c r="A187" s="41"/>
      <x:c r="B187" s="46"/>
      <x:c r="C187" s="41"/>
      <x:c r="D187" s="41"/>
      <x:c r="E187" s="50"/>
      <x:c r="F187" s="41"/>
      <x:c r="G187" s="41"/>
      <x:c r="H187" s="41"/>
      <x:c r="I187" s="52"/>
      <x:c r="J187" s="52"/>
      <x:c r="K187" s="53" t="str">
        <x:f>IF(A187="","",I187+J187)</x:f>
      </x:c>
      <x:c r="L187" s="55" t="str">
        <x:f>IF(A187="","",IF(H187="عرض 2 بـ120",'القوائم والإعدادات'!$B$6/2,IF(H187="عينة",0,'القوائم والإعدادات'!$B$5)))</x:f>
      </x:c>
      <x:c r="M187" s="55" t="str">
        <x:f>IF(A187="","",K187*L187)</x:f>
      </x:c>
      <x:c r="N187" s="56"/>
      <x:c r="O187" s="56"/>
      <x:c r="P187" s="56"/>
      <x:c r="Q187" s="55" t="str">
        <x:f>IF(A187="","",MAX(0,M187-N187+O187))</x:f>
      </x:c>
      <x:c r="R187" s="55" t="str">
        <x:f>IF(A187="","",I187*'المخزون'!$L$6+J187*'المخزون'!$L$7)</x:f>
      </x:c>
      <x:c r="S187" s="55" t="str">
        <x:f>IF(A187="","",Q187-R187-P187)</x:f>
      </x:c>
      <x:c r="T187" s="41"/>
      <x:c r="U187" s="41"/>
      <x:c r="V187" s="56"/>
      <x:c r="W187" s="55" t="str">
        <x:f>IF(A187="","",MAX(0,Q187-V187))</x:f>
      </x:c>
      <x:c r="X187" s="41"/>
      <x:c r="Y187" s="41"/>
      <x:c r="Z187" s="48"/>
      <x:c r="AA187" s="48"/>
      <x:c r="AB187" s="41"/>
      <x:c r="AC187" s="41"/>
      <x:c r="AD187" s="41"/>
      <x:c r="AE187" s="48"/>
      <x:c r="AF187" s="41"/>
      <x:c r="AG187" s="58" t="str">
        <x:f>IF(A187="","",IFERROR(VLOOKUP(A187,'الفيدباك'!$C$7:$G$206,5,FALSE),""))</x:f>
      </x:c>
      <x:c r="AH187" s="42" t="str">
        <x:f>IF(A187="","",IFERROR(VLOOKUP(A187,'الفيدباك'!$C$7:$L$206,10,FALSE),""))</x:f>
      </x:c>
      <x:c r="AI187" s="41"/>
      <x:c r="AJ187" s="42" t="str">
        <x:f>IF(A187="","",IF(A187="مثال-احذفه","صف توضيحي - احذفه قبل البدء",IF(X187="","حدّث حالة الطلب",IF(AND(X187&lt;&gt;"تم التوصيل",X187&lt;&gt;"ملغي",X187&lt;&gt;"مرتجع",Z187&lt;&gt;"",Z187&lt;TODAY()),"متأخر عن موعد التوصيل",IF(AND(X187="تم التوصيل",W187&gt;0),"حصّل المبلغ المتبقي",IF(AND(X187="تم التوصيل",AD187="موافق",OR(AF187="",AF187="لم يُطلب")),"ابعت لينك الفيدباك",IF(AND(AF187="تم إرسال الرابط",AE187&lt;&gt;"",TODAY()-AE187&gt;=3),"تابع الفيدباك","لا يوجد إجراء عاجل")))))))</x:f>
      </x:c>
    </x:row>
    <x:row r="188" ht="31" customHeight="1">
      <x:c r="A188" s="41"/>
      <x:c r="B188" s="46"/>
      <x:c r="C188" s="41"/>
      <x:c r="D188" s="41"/>
      <x:c r="E188" s="50"/>
      <x:c r="F188" s="41"/>
      <x:c r="G188" s="41"/>
      <x:c r="H188" s="41"/>
      <x:c r="I188" s="52"/>
      <x:c r="J188" s="52"/>
      <x:c r="K188" s="53" t="str">
        <x:f>IF(A188="","",I188+J188)</x:f>
      </x:c>
      <x:c r="L188" s="55" t="str">
        <x:f>IF(A188="","",IF(H188="عرض 2 بـ120",'القوائم والإعدادات'!$B$6/2,IF(H188="عينة",0,'القوائم والإعدادات'!$B$5)))</x:f>
      </x:c>
      <x:c r="M188" s="55" t="str">
        <x:f>IF(A188="","",K188*L188)</x:f>
      </x:c>
      <x:c r="N188" s="56"/>
      <x:c r="O188" s="56"/>
      <x:c r="P188" s="56"/>
      <x:c r="Q188" s="55" t="str">
        <x:f>IF(A188="","",MAX(0,M188-N188+O188))</x:f>
      </x:c>
      <x:c r="R188" s="55" t="str">
        <x:f>IF(A188="","",I188*'المخزون'!$L$6+J188*'المخزون'!$L$7)</x:f>
      </x:c>
      <x:c r="S188" s="55" t="str">
        <x:f>IF(A188="","",Q188-R188-P188)</x:f>
      </x:c>
      <x:c r="T188" s="41"/>
      <x:c r="U188" s="41"/>
      <x:c r="V188" s="56"/>
      <x:c r="W188" s="55" t="str">
        <x:f>IF(A188="","",MAX(0,Q188-V188))</x:f>
      </x:c>
      <x:c r="X188" s="41"/>
      <x:c r="Y188" s="41"/>
      <x:c r="Z188" s="48"/>
      <x:c r="AA188" s="48"/>
      <x:c r="AB188" s="41"/>
      <x:c r="AC188" s="41"/>
      <x:c r="AD188" s="41"/>
      <x:c r="AE188" s="48"/>
      <x:c r="AF188" s="41"/>
      <x:c r="AG188" s="58" t="str">
        <x:f>IF(A188="","",IFERROR(VLOOKUP(A188,'الفيدباك'!$C$7:$G$206,5,FALSE),""))</x:f>
      </x:c>
      <x:c r="AH188" s="42" t="str">
        <x:f>IF(A188="","",IFERROR(VLOOKUP(A188,'الفيدباك'!$C$7:$L$206,10,FALSE),""))</x:f>
      </x:c>
      <x:c r="AI188" s="41"/>
      <x:c r="AJ188" s="42" t="str">
        <x:f>IF(A188="","",IF(A188="مثال-احذفه","صف توضيحي - احذفه قبل البدء",IF(X188="","حدّث حالة الطلب",IF(AND(X188&lt;&gt;"تم التوصيل",X188&lt;&gt;"ملغي",X188&lt;&gt;"مرتجع",Z188&lt;&gt;"",Z188&lt;TODAY()),"متأخر عن موعد التوصيل",IF(AND(X188="تم التوصيل",W188&gt;0),"حصّل المبلغ المتبقي",IF(AND(X188="تم التوصيل",AD188="موافق",OR(AF188="",AF188="لم يُطلب")),"ابعت لينك الفيدباك",IF(AND(AF188="تم إرسال الرابط",AE188&lt;&gt;"",TODAY()-AE188&gt;=3),"تابع الفيدباك","لا يوجد إجراء عاجل")))))))</x:f>
      </x:c>
    </x:row>
    <x:row r="189" ht="31" customHeight="1">
      <x:c r="A189" s="41"/>
      <x:c r="B189" s="46"/>
      <x:c r="C189" s="41"/>
      <x:c r="D189" s="41"/>
      <x:c r="E189" s="50"/>
      <x:c r="F189" s="41"/>
      <x:c r="G189" s="41"/>
      <x:c r="H189" s="41"/>
      <x:c r="I189" s="52"/>
      <x:c r="J189" s="52"/>
      <x:c r="K189" s="53" t="str">
        <x:f>IF(A189="","",I189+J189)</x:f>
      </x:c>
      <x:c r="L189" s="55" t="str">
        <x:f>IF(A189="","",IF(H189="عرض 2 بـ120",'القوائم والإعدادات'!$B$6/2,IF(H189="عينة",0,'القوائم والإعدادات'!$B$5)))</x:f>
      </x:c>
      <x:c r="M189" s="55" t="str">
        <x:f>IF(A189="","",K189*L189)</x:f>
      </x:c>
      <x:c r="N189" s="56"/>
      <x:c r="O189" s="56"/>
      <x:c r="P189" s="56"/>
      <x:c r="Q189" s="55" t="str">
        <x:f>IF(A189="","",MAX(0,M189-N189+O189))</x:f>
      </x:c>
      <x:c r="R189" s="55" t="str">
        <x:f>IF(A189="","",I189*'المخزون'!$L$6+J189*'المخزون'!$L$7)</x:f>
      </x:c>
      <x:c r="S189" s="55" t="str">
        <x:f>IF(A189="","",Q189-R189-P189)</x:f>
      </x:c>
      <x:c r="T189" s="41"/>
      <x:c r="U189" s="41"/>
      <x:c r="V189" s="56"/>
      <x:c r="W189" s="55" t="str">
        <x:f>IF(A189="","",MAX(0,Q189-V189))</x:f>
      </x:c>
      <x:c r="X189" s="41"/>
      <x:c r="Y189" s="41"/>
      <x:c r="Z189" s="48"/>
      <x:c r="AA189" s="48"/>
      <x:c r="AB189" s="41"/>
      <x:c r="AC189" s="41"/>
      <x:c r="AD189" s="41"/>
      <x:c r="AE189" s="48"/>
      <x:c r="AF189" s="41"/>
      <x:c r="AG189" s="58" t="str">
        <x:f>IF(A189="","",IFERROR(VLOOKUP(A189,'الفيدباك'!$C$7:$G$206,5,FALSE),""))</x:f>
      </x:c>
      <x:c r="AH189" s="42" t="str">
        <x:f>IF(A189="","",IFERROR(VLOOKUP(A189,'الفيدباك'!$C$7:$L$206,10,FALSE),""))</x:f>
      </x:c>
      <x:c r="AI189" s="41"/>
      <x:c r="AJ189" s="42" t="str">
        <x:f>IF(A189="","",IF(A189="مثال-احذفه","صف توضيحي - احذفه قبل البدء",IF(X189="","حدّث حالة الطلب",IF(AND(X189&lt;&gt;"تم التوصيل",X189&lt;&gt;"ملغي",X189&lt;&gt;"مرتجع",Z189&lt;&gt;"",Z189&lt;TODAY()),"متأخر عن موعد التوصيل",IF(AND(X189="تم التوصيل",W189&gt;0),"حصّل المبلغ المتبقي",IF(AND(X189="تم التوصيل",AD189="موافق",OR(AF189="",AF189="لم يُطلب")),"ابعت لينك الفيدباك",IF(AND(AF189="تم إرسال الرابط",AE189&lt;&gt;"",TODAY()-AE189&gt;=3),"تابع الفيدباك","لا يوجد إجراء عاجل")))))))</x:f>
      </x:c>
    </x:row>
    <x:row r="190" ht="31" customHeight="1">
      <x:c r="A190" s="41"/>
      <x:c r="B190" s="46"/>
      <x:c r="C190" s="41"/>
      <x:c r="D190" s="41"/>
      <x:c r="E190" s="50"/>
      <x:c r="F190" s="41"/>
      <x:c r="G190" s="41"/>
      <x:c r="H190" s="41"/>
      <x:c r="I190" s="52"/>
      <x:c r="J190" s="52"/>
      <x:c r="K190" s="53" t="str">
        <x:f>IF(A190="","",I190+J190)</x:f>
      </x:c>
      <x:c r="L190" s="55" t="str">
        <x:f>IF(A190="","",IF(H190="عرض 2 بـ120",'القوائم والإعدادات'!$B$6/2,IF(H190="عينة",0,'القوائم والإعدادات'!$B$5)))</x:f>
      </x:c>
      <x:c r="M190" s="55" t="str">
        <x:f>IF(A190="","",K190*L190)</x:f>
      </x:c>
      <x:c r="N190" s="56"/>
      <x:c r="O190" s="56"/>
      <x:c r="P190" s="56"/>
      <x:c r="Q190" s="55" t="str">
        <x:f>IF(A190="","",MAX(0,M190-N190+O190))</x:f>
      </x:c>
      <x:c r="R190" s="55" t="str">
        <x:f>IF(A190="","",I190*'المخزون'!$L$6+J190*'المخزون'!$L$7)</x:f>
      </x:c>
      <x:c r="S190" s="55" t="str">
        <x:f>IF(A190="","",Q190-R190-P190)</x:f>
      </x:c>
      <x:c r="T190" s="41"/>
      <x:c r="U190" s="41"/>
      <x:c r="V190" s="56"/>
      <x:c r="W190" s="55" t="str">
        <x:f>IF(A190="","",MAX(0,Q190-V190))</x:f>
      </x:c>
      <x:c r="X190" s="41"/>
      <x:c r="Y190" s="41"/>
      <x:c r="Z190" s="48"/>
      <x:c r="AA190" s="48"/>
      <x:c r="AB190" s="41"/>
      <x:c r="AC190" s="41"/>
      <x:c r="AD190" s="41"/>
      <x:c r="AE190" s="48"/>
      <x:c r="AF190" s="41"/>
      <x:c r="AG190" s="58" t="str">
        <x:f>IF(A190="","",IFERROR(VLOOKUP(A190,'الفيدباك'!$C$7:$G$206,5,FALSE),""))</x:f>
      </x:c>
      <x:c r="AH190" s="42" t="str">
        <x:f>IF(A190="","",IFERROR(VLOOKUP(A190,'الفيدباك'!$C$7:$L$206,10,FALSE),""))</x:f>
      </x:c>
      <x:c r="AI190" s="41"/>
      <x:c r="AJ190" s="42" t="str">
        <x:f>IF(A190="","",IF(A190="مثال-احذفه","صف توضيحي - احذفه قبل البدء",IF(X190="","حدّث حالة الطلب",IF(AND(X190&lt;&gt;"تم التوصيل",X190&lt;&gt;"ملغي",X190&lt;&gt;"مرتجع",Z190&lt;&gt;"",Z190&lt;TODAY()),"متأخر عن موعد التوصيل",IF(AND(X190="تم التوصيل",W190&gt;0),"حصّل المبلغ المتبقي",IF(AND(X190="تم التوصيل",AD190="موافق",OR(AF190="",AF190="لم يُطلب")),"ابعت لينك الفيدباك",IF(AND(AF190="تم إرسال الرابط",AE190&lt;&gt;"",TODAY()-AE190&gt;=3),"تابع الفيدباك","لا يوجد إجراء عاجل")))))))</x:f>
      </x:c>
    </x:row>
    <x:row r="191" ht="31" customHeight="1">
      <x:c r="A191" s="41"/>
      <x:c r="B191" s="46"/>
      <x:c r="C191" s="41"/>
      <x:c r="D191" s="41"/>
      <x:c r="E191" s="50"/>
      <x:c r="F191" s="41"/>
      <x:c r="G191" s="41"/>
      <x:c r="H191" s="41"/>
      <x:c r="I191" s="52"/>
      <x:c r="J191" s="52"/>
      <x:c r="K191" s="53" t="str">
        <x:f>IF(A191="","",I191+J191)</x:f>
      </x:c>
      <x:c r="L191" s="55" t="str">
        <x:f>IF(A191="","",IF(H191="عرض 2 بـ120",'القوائم والإعدادات'!$B$6/2,IF(H191="عينة",0,'القوائم والإعدادات'!$B$5)))</x:f>
      </x:c>
      <x:c r="M191" s="55" t="str">
        <x:f>IF(A191="","",K191*L191)</x:f>
      </x:c>
      <x:c r="N191" s="56"/>
      <x:c r="O191" s="56"/>
      <x:c r="P191" s="56"/>
      <x:c r="Q191" s="55" t="str">
        <x:f>IF(A191="","",MAX(0,M191-N191+O191))</x:f>
      </x:c>
      <x:c r="R191" s="55" t="str">
        <x:f>IF(A191="","",I191*'المخزون'!$L$6+J191*'المخزون'!$L$7)</x:f>
      </x:c>
      <x:c r="S191" s="55" t="str">
        <x:f>IF(A191="","",Q191-R191-P191)</x:f>
      </x:c>
      <x:c r="T191" s="41"/>
      <x:c r="U191" s="41"/>
      <x:c r="V191" s="56"/>
      <x:c r="W191" s="55" t="str">
        <x:f>IF(A191="","",MAX(0,Q191-V191))</x:f>
      </x:c>
      <x:c r="X191" s="41"/>
      <x:c r="Y191" s="41"/>
      <x:c r="Z191" s="48"/>
      <x:c r="AA191" s="48"/>
      <x:c r="AB191" s="41"/>
      <x:c r="AC191" s="41"/>
      <x:c r="AD191" s="41"/>
      <x:c r="AE191" s="48"/>
      <x:c r="AF191" s="41"/>
      <x:c r="AG191" s="58" t="str">
        <x:f>IF(A191="","",IFERROR(VLOOKUP(A191,'الفيدباك'!$C$7:$G$206,5,FALSE),""))</x:f>
      </x:c>
      <x:c r="AH191" s="42" t="str">
        <x:f>IF(A191="","",IFERROR(VLOOKUP(A191,'الفيدباك'!$C$7:$L$206,10,FALSE),""))</x:f>
      </x:c>
      <x:c r="AI191" s="41"/>
      <x:c r="AJ191" s="42" t="str">
        <x:f>IF(A191="","",IF(A191="مثال-احذفه","صف توضيحي - احذفه قبل البدء",IF(X191="","حدّث حالة الطلب",IF(AND(X191&lt;&gt;"تم التوصيل",X191&lt;&gt;"ملغي",X191&lt;&gt;"مرتجع",Z191&lt;&gt;"",Z191&lt;TODAY()),"متأخر عن موعد التوصيل",IF(AND(X191="تم التوصيل",W191&gt;0),"حصّل المبلغ المتبقي",IF(AND(X191="تم التوصيل",AD191="موافق",OR(AF191="",AF191="لم يُطلب")),"ابعت لينك الفيدباك",IF(AND(AF191="تم إرسال الرابط",AE191&lt;&gt;"",TODAY()-AE191&gt;=3),"تابع الفيدباك","لا يوجد إجراء عاجل")))))))</x:f>
      </x:c>
    </x:row>
    <x:row r="192" ht="31" customHeight="1">
      <x:c r="A192" s="41"/>
      <x:c r="B192" s="46"/>
      <x:c r="C192" s="41"/>
      <x:c r="D192" s="41"/>
      <x:c r="E192" s="50"/>
      <x:c r="F192" s="41"/>
      <x:c r="G192" s="41"/>
      <x:c r="H192" s="41"/>
      <x:c r="I192" s="52"/>
      <x:c r="J192" s="52"/>
      <x:c r="K192" s="53" t="str">
        <x:f>IF(A192="","",I192+J192)</x:f>
      </x:c>
      <x:c r="L192" s="55" t="str">
        <x:f>IF(A192="","",IF(H192="عرض 2 بـ120",'القوائم والإعدادات'!$B$6/2,IF(H192="عينة",0,'القوائم والإعدادات'!$B$5)))</x:f>
      </x:c>
      <x:c r="M192" s="55" t="str">
        <x:f>IF(A192="","",K192*L192)</x:f>
      </x:c>
      <x:c r="N192" s="56"/>
      <x:c r="O192" s="56"/>
      <x:c r="P192" s="56"/>
      <x:c r="Q192" s="55" t="str">
        <x:f>IF(A192="","",MAX(0,M192-N192+O192))</x:f>
      </x:c>
      <x:c r="R192" s="55" t="str">
        <x:f>IF(A192="","",I192*'المخزون'!$L$6+J192*'المخزون'!$L$7)</x:f>
      </x:c>
      <x:c r="S192" s="55" t="str">
        <x:f>IF(A192="","",Q192-R192-P192)</x:f>
      </x:c>
      <x:c r="T192" s="41"/>
      <x:c r="U192" s="41"/>
      <x:c r="V192" s="56"/>
      <x:c r="W192" s="55" t="str">
        <x:f>IF(A192="","",MAX(0,Q192-V192))</x:f>
      </x:c>
      <x:c r="X192" s="41"/>
      <x:c r="Y192" s="41"/>
      <x:c r="Z192" s="48"/>
      <x:c r="AA192" s="48"/>
      <x:c r="AB192" s="41"/>
      <x:c r="AC192" s="41"/>
      <x:c r="AD192" s="41"/>
      <x:c r="AE192" s="48"/>
      <x:c r="AF192" s="41"/>
      <x:c r="AG192" s="58" t="str">
        <x:f>IF(A192="","",IFERROR(VLOOKUP(A192,'الفيدباك'!$C$7:$G$206,5,FALSE),""))</x:f>
      </x:c>
      <x:c r="AH192" s="42" t="str">
        <x:f>IF(A192="","",IFERROR(VLOOKUP(A192,'الفيدباك'!$C$7:$L$206,10,FALSE),""))</x:f>
      </x:c>
      <x:c r="AI192" s="41"/>
      <x:c r="AJ192" s="42" t="str">
        <x:f>IF(A192="","",IF(A192="مثال-احذفه","صف توضيحي - احذفه قبل البدء",IF(X192="","حدّث حالة الطلب",IF(AND(X192&lt;&gt;"تم التوصيل",X192&lt;&gt;"ملغي",X192&lt;&gt;"مرتجع",Z192&lt;&gt;"",Z192&lt;TODAY()),"متأخر عن موعد التوصيل",IF(AND(X192="تم التوصيل",W192&gt;0),"حصّل المبلغ المتبقي",IF(AND(X192="تم التوصيل",AD192="موافق",OR(AF192="",AF192="لم يُطلب")),"ابعت لينك الفيدباك",IF(AND(AF192="تم إرسال الرابط",AE192&lt;&gt;"",TODAY()-AE192&gt;=3),"تابع الفيدباك","لا يوجد إجراء عاجل")))))))</x:f>
      </x:c>
    </x:row>
    <x:row r="193" ht="31" customHeight="1">
      <x:c r="A193" s="41"/>
      <x:c r="B193" s="46"/>
      <x:c r="C193" s="41"/>
      <x:c r="D193" s="41"/>
      <x:c r="E193" s="50"/>
      <x:c r="F193" s="41"/>
      <x:c r="G193" s="41"/>
      <x:c r="H193" s="41"/>
      <x:c r="I193" s="52"/>
      <x:c r="J193" s="52"/>
      <x:c r="K193" s="53" t="str">
        <x:f>IF(A193="","",I193+J193)</x:f>
      </x:c>
      <x:c r="L193" s="55" t="str">
        <x:f>IF(A193="","",IF(H193="عرض 2 بـ120",'القوائم والإعدادات'!$B$6/2,IF(H193="عينة",0,'القوائم والإعدادات'!$B$5)))</x:f>
      </x:c>
      <x:c r="M193" s="55" t="str">
        <x:f>IF(A193="","",K193*L193)</x:f>
      </x:c>
      <x:c r="N193" s="56"/>
      <x:c r="O193" s="56"/>
      <x:c r="P193" s="56"/>
      <x:c r="Q193" s="55" t="str">
        <x:f>IF(A193="","",MAX(0,M193-N193+O193))</x:f>
      </x:c>
      <x:c r="R193" s="55" t="str">
        <x:f>IF(A193="","",I193*'المخزون'!$L$6+J193*'المخزون'!$L$7)</x:f>
      </x:c>
      <x:c r="S193" s="55" t="str">
        <x:f>IF(A193="","",Q193-R193-P193)</x:f>
      </x:c>
      <x:c r="T193" s="41"/>
      <x:c r="U193" s="41"/>
      <x:c r="V193" s="56"/>
      <x:c r="W193" s="55" t="str">
        <x:f>IF(A193="","",MAX(0,Q193-V193))</x:f>
      </x:c>
      <x:c r="X193" s="41"/>
      <x:c r="Y193" s="41"/>
      <x:c r="Z193" s="48"/>
      <x:c r="AA193" s="48"/>
      <x:c r="AB193" s="41"/>
      <x:c r="AC193" s="41"/>
      <x:c r="AD193" s="41"/>
      <x:c r="AE193" s="48"/>
      <x:c r="AF193" s="41"/>
      <x:c r="AG193" s="58" t="str">
        <x:f>IF(A193="","",IFERROR(VLOOKUP(A193,'الفيدباك'!$C$7:$G$206,5,FALSE),""))</x:f>
      </x:c>
      <x:c r="AH193" s="42" t="str">
        <x:f>IF(A193="","",IFERROR(VLOOKUP(A193,'الفيدباك'!$C$7:$L$206,10,FALSE),""))</x:f>
      </x:c>
      <x:c r="AI193" s="41"/>
      <x:c r="AJ193" s="42" t="str">
        <x:f>IF(A193="","",IF(A193="مثال-احذفه","صف توضيحي - احذفه قبل البدء",IF(X193="","حدّث حالة الطلب",IF(AND(X193&lt;&gt;"تم التوصيل",X193&lt;&gt;"ملغي",X193&lt;&gt;"مرتجع",Z193&lt;&gt;"",Z193&lt;TODAY()),"متأخر عن موعد التوصيل",IF(AND(X193="تم التوصيل",W193&gt;0),"حصّل المبلغ المتبقي",IF(AND(X193="تم التوصيل",AD193="موافق",OR(AF193="",AF193="لم يُطلب")),"ابعت لينك الفيدباك",IF(AND(AF193="تم إرسال الرابط",AE193&lt;&gt;"",TODAY()-AE193&gt;=3),"تابع الفيدباك","لا يوجد إجراء عاجل")))))))</x:f>
      </x:c>
    </x:row>
    <x:row r="194" ht="31" customHeight="1">
      <x:c r="A194" s="41"/>
      <x:c r="B194" s="46"/>
      <x:c r="C194" s="41"/>
      <x:c r="D194" s="41"/>
      <x:c r="E194" s="50"/>
      <x:c r="F194" s="41"/>
      <x:c r="G194" s="41"/>
      <x:c r="H194" s="41"/>
      <x:c r="I194" s="52"/>
      <x:c r="J194" s="52"/>
      <x:c r="K194" s="53" t="str">
        <x:f>IF(A194="","",I194+J194)</x:f>
      </x:c>
      <x:c r="L194" s="55" t="str">
        <x:f>IF(A194="","",IF(H194="عرض 2 بـ120",'القوائم والإعدادات'!$B$6/2,IF(H194="عينة",0,'القوائم والإعدادات'!$B$5)))</x:f>
      </x:c>
      <x:c r="M194" s="55" t="str">
        <x:f>IF(A194="","",K194*L194)</x:f>
      </x:c>
      <x:c r="N194" s="56"/>
      <x:c r="O194" s="56"/>
      <x:c r="P194" s="56"/>
      <x:c r="Q194" s="55" t="str">
        <x:f>IF(A194="","",MAX(0,M194-N194+O194))</x:f>
      </x:c>
      <x:c r="R194" s="55" t="str">
        <x:f>IF(A194="","",I194*'المخزون'!$L$6+J194*'المخزون'!$L$7)</x:f>
      </x:c>
      <x:c r="S194" s="55" t="str">
        <x:f>IF(A194="","",Q194-R194-P194)</x:f>
      </x:c>
      <x:c r="T194" s="41"/>
      <x:c r="U194" s="41"/>
      <x:c r="V194" s="56"/>
      <x:c r="W194" s="55" t="str">
        <x:f>IF(A194="","",MAX(0,Q194-V194))</x:f>
      </x:c>
      <x:c r="X194" s="41"/>
      <x:c r="Y194" s="41"/>
      <x:c r="Z194" s="48"/>
      <x:c r="AA194" s="48"/>
      <x:c r="AB194" s="41"/>
      <x:c r="AC194" s="41"/>
      <x:c r="AD194" s="41"/>
      <x:c r="AE194" s="48"/>
      <x:c r="AF194" s="41"/>
      <x:c r="AG194" s="58" t="str">
        <x:f>IF(A194="","",IFERROR(VLOOKUP(A194,'الفيدباك'!$C$7:$G$206,5,FALSE),""))</x:f>
      </x:c>
      <x:c r="AH194" s="42" t="str">
        <x:f>IF(A194="","",IFERROR(VLOOKUP(A194,'الفيدباك'!$C$7:$L$206,10,FALSE),""))</x:f>
      </x:c>
      <x:c r="AI194" s="41"/>
      <x:c r="AJ194" s="42" t="str">
        <x:f>IF(A194="","",IF(A194="مثال-احذفه","صف توضيحي - احذفه قبل البدء",IF(X194="","حدّث حالة الطلب",IF(AND(X194&lt;&gt;"تم التوصيل",X194&lt;&gt;"ملغي",X194&lt;&gt;"مرتجع",Z194&lt;&gt;"",Z194&lt;TODAY()),"متأخر عن موعد التوصيل",IF(AND(X194="تم التوصيل",W194&gt;0),"حصّل المبلغ المتبقي",IF(AND(X194="تم التوصيل",AD194="موافق",OR(AF194="",AF194="لم يُطلب")),"ابعت لينك الفيدباك",IF(AND(AF194="تم إرسال الرابط",AE194&lt;&gt;"",TODAY()-AE194&gt;=3),"تابع الفيدباك","لا يوجد إجراء عاجل")))))))</x:f>
      </x:c>
    </x:row>
    <x:row r="195" ht="31" customHeight="1">
      <x:c r="A195" s="41"/>
      <x:c r="B195" s="46"/>
      <x:c r="C195" s="41"/>
      <x:c r="D195" s="41"/>
      <x:c r="E195" s="50"/>
      <x:c r="F195" s="41"/>
      <x:c r="G195" s="41"/>
      <x:c r="H195" s="41"/>
      <x:c r="I195" s="52"/>
      <x:c r="J195" s="52"/>
      <x:c r="K195" s="53" t="str">
        <x:f>IF(A195="","",I195+J195)</x:f>
      </x:c>
      <x:c r="L195" s="55" t="str">
        <x:f>IF(A195="","",IF(H195="عرض 2 بـ120",'القوائم والإعدادات'!$B$6/2,IF(H195="عينة",0,'القوائم والإعدادات'!$B$5)))</x:f>
      </x:c>
      <x:c r="M195" s="55" t="str">
        <x:f>IF(A195="","",K195*L195)</x:f>
      </x:c>
      <x:c r="N195" s="56"/>
      <x:c r="O195" s="56"/>
      <x:c r="P195" s="56"/>
      <x:c r="Q195" s="55" t="str">
        <x:f>IF(A195="","",MAX(0,M195-N195+O195))</x:f>
      </x:c>
      <x:c r="R195" s="55" t="str">
        <x:f>IF(A195="","",I195*'المخزون'!$L$6+J195*'المخزون'!$L$7)</x:f>
      </x:c>
      <x:c r="S195" s="55" t="str">
        <x:f>IF(A195="","",Q195-R195-P195)</x:f>
      </x:c>
      <x:c r="T195" s="41"/>
      <x:c r="U195" s="41"/>
      <x:c r="V195" s="56"/>
      <x:c r="W195" s="55" t="str">
        <x:f>IF(A195="","",MAX(0,Q195-V195))</x:f>
      </x:c>
      <x:c r="X195" s="41"/>
      <x:c r="Y195" s="41"/>
      <x:c r="Z195" s="48"/>
      <x:c r="AA195" s="48"/>
      <x:c r="AB195" s="41"/>
      <x:c r="AC195" s="41"/>
      <x:c r="AD195" s="41"/>
      <x:c r="AE195" s="48"/>
      <x:c r="AF195" s="41"/>
      <x:c r="AG195" s="58" t="str">
        <x:f>IF(A195="","",IFERROR(VLOOKUP(A195,'الفيدباك'!$C$7:$G$206,5,FALSE),""))</x:f>
      </x:c>
      <x:c r="AH195" s="42" t="str">
        <x:f>IF(A195="","",IFERROR(VLOOKUP(A195,'الفيدباك'!$C$7:$L$206,10,FALSE),""))</x:f>
      </x:c>
      <x:c r="AI195" s="41"/>
      <x:c r="AJ195" s="42" t="str">
        <x:f>IF(A195="","",IF(A195="مثال-احذفه","صف توضيحي - احذفه قبل البدء",IF(X195="","حدّث حالة الطلب",IF(AND(X195&lt;&gt;"تم التوصيل",X195&lt;&gt;"ملغي",X195&lt;&gt;"مرتجع",Z195&lt;&gt;"",Z195&lt;TODAY()),"متأخر عن موعد التوصيل",IF(AND(X195="تم التوصيل",W195&gt;0),"حصّل المبلغ المتبقي",IF(AND(X195="تم التوصيل",AD195="موافق",OR(AF195="",AF195="لم يُطلب")),"ابعت لينك الفيدباك",IF(AND(AF195="تم إرسال الرابط",AE195&lt;&gt;"",TODAY()-AE195&gt;=3),"تابع الفيدباك","لا يوجد إجراء عاجل")))))))</x:f>
      </x:c>
    </x:row>
    <x:row r="196" ht="31" customHeight="1">
      <x:c r="A196" s="41"/>
      <x:c r="B196" s="46"/>
      <x:c r="C196" s="41"/>
      <x:c r="D196" s="41"/>
      <x:c r="E196" s="50"/>
      <x:c r="F196" s="41"/>
      <x:c r="G196" s="41"/>
      <x:c r="H196" s="41"/>
      <x:c r="I196" s="52"/>
      <x:c r="J196" s="52"/>
      <x:c r="K196" s="53" t="str">
        <x:f>IF(A196="","",I196+J196)</x:f>
      </x:c>
      <x:c r="L196" s="55" t="str">
        <x:f>IF(A196="","",IF(H196="عرض 2 بـ120",'القوائم والإعدادات'!$B$6/2,IF(H196="عينة",0,'القوائم والإعدادات'!$B$5)))</x:f>
      </x:c>
      <x:c r="M196" s="55" t="str">
        <x:f>IF(A196="","",K196*L196)</x:f>
      </x:c>
      <x:c r="N196" s="56"/>
      <x:c r="O196" s="56"/>
      <x:c r="P196" s="56"/>
      <x:c r="Q196" s="55" t="str">
        <x:f>IF(A196="","",MAX(0,M196-N196+O196))</x:f>
      </x:c>
      <x:c r="R196" s="55" t="str">
        <x:f>IF(A196="","",I196*'المخزون'!$L$6+J196*'المخزون'!$L$7)</x:f>
      </x:c>
      <x:c r="S196" s="55" t="str">
        <x:f>IF(A196="","",Q196-R196-P196)</x:f>
      </x:c>
      <x:c r="T196" s="41"/>
      <x:c r="U196" s="41"/>
      <x:c r="V196" s="56"/>
      <x:c r="W196" s="55" t="str">
        <x:f>IF(A196="","",MAX(0,Q196-V196))</x:f>
      </x:c>
      <x:c r="X196" s="41"/>
      <x:c r="Y196" s="41"/>
      <x:c r="Z196" s="48"/>
      <x:c r="AA196" s="48"/>
      <x:c r="AB196" s="41"/>
      <x:c r="AC196" s="41"/>
      <x:c r="AD196" s="41"/>
      <x:c r="AE196" s="48"/>
      <x:c r="AF196" s="41"/>
      <x:c r="AG196" s="58" t="str">
        <x:f>IF(A196="","",IFERROR(VLOOKUP(A196,'الفيدباك'!$C$7:$G$206,5,FALSE),""))</x:f>
      </x:c>
      <x:c r="AH196" s="42" t="str">
        <x:f>IF(A196="","",IFERROR(VLOOKUP(A196,'الفيدباك'!$C$7:$L$206,10,FALSE),""))</x:f>
      </x:c>
      <x:c r="AI196" s="41"/>
      <x:c r="AJ196" s="42" t="str">
        <x:f>IF(A196="","",IF(A196="مثال-احذفه","صف توضيحي - احذفه قبل البدء",IF(X196="","حدّث حالة الطلب",IF(AND(X196&lt;&gt;"تم التوصيل",X196&lt;&gt;"ملغي",X196&lt;&gt;"مرتجع",Z196&lt;&gt;"",Z196&lt;TODAY()),"متأخر عن موعد التوصيل",IF(AND(X196="تم التوصيل",W196&gt;0),"حصّل المبلغ المتبقي",IF(AND(X196="تم التوصيل",AD196="موافق",OR(AF196="",AF196="لم يُطلب")),"ابعت لينك الفيدباك",IF(AND(AF196="تم إرسال الرابط",AE196&lt;&gt;"",TODAY()-AE196&gt;=3),"تابع الفيدباك","لا يوجد إجراء عاجل")))))))</x:f>
      </x:c>
    </x:row>
    <x:row r="197" ht="31" customHeight="1">
      <x:c r="A197" s="41"/>
      <x:c r="B197" s="46"/>
      <x:c r="C197" s="41"/>
      <x:c r="D197" s="41"/>
      <x:c r="E197" s="50"/>
      <x:c r="F197" s="41"/>
      <x:c r="G197" s="41"/>
      <x:c r="H197" s="41"/>
      <x:c r="I197" s="52"/>
      <x:c r="J197" s="52"/>
      <x:c r="K197" s="53" t="str">
        <x:f>IF(A197="","",I197+J197)</x:f>
      </x:c>
      <x:c r="L197" s="55" t="str">
        <x:f>IF(A197="","",IF(H197="عرض 2 بـ120",'القوائم والإعدادات'!$B$6/2,IF(H197="عينة",0,'القوائم والإعدادات'!$B$5)))</x:f>
      </x:c>
      <x:c r="M197" s="55" t="str">
        <x:f>IF(A197="","",K197*L197)</x:f>
      </x:c>
      <x:c r="N197" s="56"/>
      <x:c r="O197" s="56"/>
      <x:c r="P197" s="56"/>
      <x:c r="Q197" s="55" t="str">
        <x:f>IF(A197="","",MAX(0,M197-N197+O197))</x:f>
      </x:c>
      <x:c r="R197" s="55" t="str">
        <x:f>IF(A197="","",I197*'المخزون'!$L$6+J197*'المخزون'!$L$7)</x:f>
      </x:c>
      <x:c r="S197" s="55" t="str">
        <x:f>IF(A197="","",Q197-R197-P197)</x:f>
      </x:c>
      <x:c r="T197" s="41"/>
      <x:c r="U197" s="41"/>
      <x:c r="V197" s="56"/>
      <x:c r="W197" s="55" t="str">
        <x:f>IF(A197="","",MAX(0,Q197-V197))</x:f>
      </x:c>
      <x:c r="X197" s="41"/>
      <x:c r="Y197" s="41"/>
      <x:c r="Z197" s="48"/>
      <x:c r="AA197" s="48"/>
      <x:c r="AB197" s="41"/>
      <x:c r="AC197" s="41"/>
      <x:c r="AD197" s="41"/>
      <x:c r="AE197" s="48"/>
      <x:c r="AF197" s="41"/>
      <x:c r="AG197" s="58" t="str">
        <x:f>IF(A197="","",IFERROR(VLOOKUP(A197,'الفيدباك'!$C$7:$G$206,5,FALSE),""))</x:f>
      </x:c>
      <x:c r="AH197" s="42" t="str">
        <x:f>IF(A197="","",IFERROR(VLOOKUP(A197,'الفيدباك'!$C$7:$L$206,10,FALSE),""))</x:f>
      </x:c>
      <x:c r="AI197" s="41"/>
      <x:c r="AJ197" s="42" t="str">
        <x:f>IF(A197="","",IF(A197="مثال-احذفه","صف توضيحي - احذفه قبل البدء",IF(X197="","حدّث حالة الطلب",IF(AND(X197&lt;&gt;"تم التوصيل",X197&lt;&gt;"ملغي",X197&lt;&gt;"مرتجع",Z197&lt;&gt;"",Z197&lt;TODAY()),"متأخر عن موعد التوصيل",IF(AND(X197="تم التوصيل",W197&gt;0),"حصّل المبلغ المتبقي",IF(AND(X197="تم التوصيل",AD197="موافق",OR(AF197="",AF197="لم يُطلب")),"ابعت لينك الفيدباك",IF(AND(AF197="تم إرسال الرابط",AE197&lt;&gt;"",TODAY()-AE197&gt;=3),"تابع الفيدباك","لا يوجد إجراء عاجل")))))))</x:f>
      </x:c>
    </x:row>
    <x:row r="198" ht="31" customHeight="1">
      <x:c r="A198" s="41"/>
      <x:c r="B198" s="46"/>
      <x:c r="C198" s="41"/>
      <x:c r="D198" s="41"/>
      <x:c r="E198" s="50"/>
      <x:c r="F198" s="41"/>
      <x:c r="G198" s="41"/>
      <x:c r="H198" s="41"/>
      <x:c r="I198" s="52"/>
      <x:c r="J198" s="52"/>
      <x:c r="K198" s="53" t="str">
        <x:f>IF(A198="","",I198+J198)</x:f>
      </x:c>
      <x:c r="L198" s="55" t="str">
        <x:f>IF(A198="","",IF(H198="عرض 2 بـ120",'القوائم والإعدادات'!$B$6/2,IF(H198="عينة",0,'القوائم والإعدادات'!$B$5)))</x:f>
      </x:c>
      <x:c r="M198" s="55" t="str">
        <x:f>IF(A198="","",K198*L198)</x:f>
      </x:c>
      <x:c r="N198" s="56"/>
      <x:c r="O198" s="56"/>
      <x:c r="P198" s="56"/>
      <x:c r="Q198" s="55" t="str">
        <x:f>IF(A198="","",MAX(0,M198-N198+O198))</x:f>
      </x:c>
      <x:c r="R198" s="55" t="str">
        <x:f>IF(A198="","",I198*'المخزون'!$L$6+J198*'المخزون'!$L$7)</x:f>
      </x:c>
      <x:c r="S198" s="55" t="str">
        <x:f>IF(A198="","",Q198-R198-P198)</x:f>
      </x:c>
      <x:c r="T198" s="41"/>
      <x:c r="U198" s="41"/>
      <x:c r="V198" s="56"/>
      <x:c r="W198" s="55" t="str">
        <x:f>IF(A198="","",MAX(0,Q198-V198))</x:f>
      </x:c>
      <x:c r="X198" s="41"/>
      <x:c r="Y198" s="41"/>
      <x:c r="Z198" s="48"/>
      <x:c r="AA198" s="48"/>
      <x:c r="AB198" s="41"/>
      <x:c r="AC198" s="41"/>
      <x:c r="AD198" s="41"/>
      <x:c r="AE198" s="48"/>
      <x:c r="AF198" s="41"/>
      <x:c r="AG198" s="58" t="str">
        <x:f>IF(A198="","",IFERROR(VLOOKUP(A198,'الفيدباك'!$C$7:$G$206,5,FALSE),""))</x:f>
      </x:c>
      <x:c r="AH198" s="42" t="str">
        <x:f>IF(A198="","",IFERROR(VLOOKUP(A198,'الفيدباك'!$C$7:$L$206,10,FALSE),""))</x:f>
      </x:c>
      <x:c r="AI198" s="41"/>
      <x:c r="AJ198" s="42" t="str">
        <x:f>IF(A198="","",IF(A198="مثال-احذفه","صف توضيحي - احذفه قبل البدء",IF(X198="","حدّث حالة الطلب",IF(AND(X198&lt;&gt;"تم التوصيل",X198&lt;&gt;"ملغي",X198&lt;&gt;"مرتجع",Z198&lt;&gt;"",Z198&lt;TODAY()),"متأخر عن موعد التوصيل",IF(AND(X198="تم التوصيل",W198&gt;0),"حصّل المبلغ المتبقي",IF(AND(X198="تم التوصيل",AD198="موافق",OR(AF198="",AF198="لم يُطلب")),"ابعت لينك الفيدباك",IF(AND(AF198="تم إرسال الرابط",AE198&lt;&gt;"",TODAY()-AE198&gt;=3),"تابع الفيدباك","لا يوجد إجراء عاجل")))))))</x:f>
      </x:c>
    </x:row>
    <x:row r="199" ht="31" customHeight="1">
      <x:c r="A199" s="41"/>
      <x:c r="B199" s="46"/>
      <x:c r="C199" s="41"/>
      <x:c r="D199" s="41"/>
      <x:c r="E199" s="50"/>
      <x:c r="F199" s="41"/>
      <x:c r="G199" s="41"/>
      <x:c r="H199" s="41"/>
      <x:c r="I199" s="52"/>
      <x:c r="J199" s="52"/>
      <x:c r="K199" s="53" t="str">
        <x:f>IF(A199="","",I199+J199)</x:f>
      </x:c>
      <x:c r="L199" s="55" t="str">
        <x:f>IF(A199="","",IF(H199="عرض 2 بـ120",'القوائم والإعدادات'!$B$6/2,IF(H199="عينة",0,'القوائم والإعدادات'!$B$5)))</x:f>
      </x:c>
      <x:c r="M199" s="55" t="str">
        <x:f>IF(A199="","",K199*L199)</x:f>
      </x:c>
      <x:c r="N199" s="56"/>
      <x:c r="O199" s="56"/>
      <x:c r="P199" s="56"/>
      <x:c r="Q199" s="55" t="str">
        <x:f>IF(A199="","",MAX(0,M199-N199+O199))</x:f>
      </x:c>
      <x:c r="R199" s="55" t="str">
        <x:f>IF(A199="","",I199*'المخزون'!$L$6+J199*'المخزون'!$L$7)</x:f>
      </x:c>
      <x:c r="S199" s="55" t="str">
        <x:f>IF(A199="","",Q199-R199-P199)</x:f>
      </x:c>
      <x:c r="T199" s="41"/>
      <x:c r="U199" s="41"/>
      <x:c r="V199" s="56"/>
      <x:c r="W199" s="55" t="str">
        <x:f>IF(A199="","",MAX(0,Q199-V199))</x:f>
      </x:c>
      <x:c r="X199" s="41"/>
      <x:c r="Y199" s="41"/>
      <x:c r="Z199" s="48"/>
      <x:c r="AA199" s="48"/>
      <x:c r="AB199" s="41"/>
      <x:c r="AC199" s="41"/>
      <x:c r="AD199" s="41"/>
      <x:c r="AE199" s="48"/>
      <x:c r="AF199" s="41"/>
      <x:c r="AG199" s="58" t="str">
        <x:f>IF(A199="","",IFERROR(VLOOKUP(A199,'الفيدباك'!$C$7:$G$206,5,FALSE),""))</x:f>
      </x:c>
      <x:c r="AH199" s="42" t="str">
        <x:f>IF(A199="","",IFERROR(VLOOKUP(A199,'الفيدباك'!$C$7:$L$206,10,FALSE),""))</x:f>
      </x:c>
      <x:c r="AI199" s="41"/>
      <x:c r="AJ199" s="42" t="str">
        <x:f>IF(A199="","",IF(A199="مثال-احذفه","صف توضيحي - احذفه قبل البدء",IF(X199="","حدّث حالة الطلب",IF(AND(X199&lt;&gt;"تم التوصيل",X199&lt;&gt;"ملغي",X199&lt;&gt;"مرتجع",Z199&lt;&gt;"",Z199&lt;TODAY()),"متأخر عن موعد التوصيل",IF(AND(X199="تم التوصيل",W199&gt;0),"حصّل المبلغ المتبقي",IF(AND(X199="تم التوصيل",AD199="موافق",OR(AF199="",AF199="لم يُطلب")),"ابعت لينك الفيدباك",IF(AND(AF199="تم إرسال الرابط",AE199&lt;&gt;"",TODAY()-AE199&gt;=3),"تابع الفيدباك","لا يوجد إجراء عاجل")))))))</x:f>
      </x:c>
    </x:row>
    <x:row r="200" ht="31" customHeight="1">
      <x:c r="A200" s="41"/>
      <x:c r="B200" s="46"/>
      <x:c r="C200" s="41"/>
      <x:c r="D200" s="41"/>
      <x:c r="E200" s="50"/>
      <x:c r="F200" s="41"/>
      <x:c r="G200" s="41"/>
      <x:c r="H200" s="41"/>
      <x:c r="I200" s="52"/>
      <x:c r="J200" s="52"/>
      <x:c r="K200" s="53" t="str">
        <x:f>IF(A200="","",I200+J200)</x:f>
      </x:c>
      <x:c r="L200" s="55" t="str">
        <x:f>IF(A200="","",IF(H200="عرض 2 بـ120",'القوائم والإعدادات'!$B$6/2,IF(H200="عينة",0,'القوائم والإعدادات'!$B$5)))</x:f>
      </x:c>
      <x:c r="M200" s="55" t="str">
        <x:f>IF(A200="","",K200*L200)</x:f>
      </x:c>
      <x:c r="N200" s="56"/>
      <x:c r="O200" s="56"/>
      <x:c r="P200" s="56"/>
      <x:c r="Q200" s="55" t="str">
        <x:f>IF(A200="","",MAX(0,M200-N200+O200))</x:f>
      </x:c>
      <x:c r="R200" s="55" t="str">
        <x:f>IF(A200="","",I200*'المخزون'!$L$6+J200*'المخزون'!$L$7)</x:f>
      </x:c>
      <x:c r="S200" s="55" t="str">
        <x:f>IF(A200="","",Q200-R200-P200)</x:f>
      </x:c>
      <x:c r="T200" s="41"/>
      <x:c r="U200" s="41"/>
      <x:c r="V200" s="56"/>
      <x:c r="W200" s="55" t="str">
        <x:f>IF(A200="","",MAX(0,Q200-V200))</x:f>
      </x:c>
      <x:c r="X200" s="41"/>
      <x:c r="Y200" s="41"/>
      <x:c r="Z200" s="48"/>
      <x:c r="AA200" s="48"/>
      <x:c r="AB200" s="41"/>
      <x:c r="AC200" s="41"/>
      <x:c r="AD200" s="41"/>
      <x:c r="AE200" s="48"/>
      <x:c r="AF200" s="41"/>
      <x:c r="AG200" s="58" t="str">
        <x:f>IF(A200="","",IFERROR(VLOOKUP(A200,'الفيدباك'!$C$7:$G$206,5,FALSE),""))</x:f>
      </x:c>
      <x:c r="AH200" s="42" t="str">
        <x:f>IF(A200="","",IFERROR(VLOOKUP(A200,'الفيدباك'!$C$7:$L$206,10,FALSE),""))</x:f>
      </x:c>
      <x:c r="AI200" s="41"/>
      <x:c r="AJ200" s="42" t="str">
        <x:f>IF(A200="","",IF(A200="مثال-احذفه","صف توضيحي - احذفه قبل البدء",IF(X200="","حدّث حالة الطلب",IF(AND(X200&lt;&gt;"تم التوصيل",X200&lt;&gt;"ملغي",X200&lt;&gt;"مرتجع",Z200&lt;&gt;"",Z200&lt;TODAY()),"متأخر عن موعد التوصيل",IF(AND(X200="تم التوصيل",W200&gt;0),"حصّل المبلغ المتبقي",IF(AND(X200="تم التوصيل",AD200="موافق",OR(AF200="",AF200="لم يُطلب")),"ابعت لينك الفيدباك",IF(AND(AF200="تم إرسال الرابط",AE200&lt;&gt;"",TODAY()-AE200&gt;=3),"تابع الفيدباك","لا يوجد إجراء عاجل")))))))</x:f>
      </x:c>
    </x:row>
    <x:row r="201" ht="31" customHeight="1">
      <x:c r="A201" s="41"/>
      <x:c r="B201" s="46"/>
      <x:c r="C201" s="41"/>
      <x:c r="D201" s="41"/>
      <x:c r="E201" s="50"/>
      <x:c r="F201" s="41"/>
      <x:c r="G201" s="41"/>
      <x:c r="H201" s="41"/>
      <x:c r="I201" s="52"/>
      <x:c r="J201" s="52"/>
      <x:c r="K201" s="53" t="str">
        <x:f>IF(A201="","",I201+J201)</x:f>
      </x:c>
      <x:c r="L201" s="55" t="str">
        <x:f>IF(A201="","",IF(H201="عرض 2 بـ120",'القوائم والإعدادات'!$B$6/2,IF(H201="عينة",0,'القوائم والإعدادات'!$B$5)))</x:f>
      </x:c>
      <x:c r="M201" s="55" t="str">
        <x:f>IF(A201="","",K201*L201)</x:f>
      </x:c>
      <x:c r="N201" s="56"/>
      <x:c r="O201" s="56"/>
      <x:c r="P201" s="56"/>
      <x:c r="Q201" s="55" t="str">
        <x:f>IF(A201="","",MAX(0,M201-N201+O201))</x:f>
      </x:c>
      <x:c r="R201" s="55" t="str">
        <x:f>IF(A201="","",I201*'المخزون'!$L$6+J201*'المخزون'!$L$7)</x:f>
      </x:c>
      <x:c r="S201" s="55" t="str">
        <x:f>IF(A201="","",Q201-R201-P201)</x:f>
      </x:c>
      <x:c r="T201" s="41"/>
      <x:c r="U201" s="41"/>
      <x:c r="V201" s="56"/>
      <x:c r="W201" s="55" t="str">
        <x:f>IF(A201="","",MAX(0,Q201-V201))</x:f>
      </x:c>
      <x:c r="X201" s="41"/>
      <x:c r="Y201" s="41"/>
      <x:c r="Z201" s="48"/>
      <x:c r="AA201" s="48"/>
      <x:c r="AB201" s="41"/>
      <x:c r="AC201" s="41"/>
      <x:c r="AD201" s="41"/>
      <x:c r="AE201" s="48"/>
      <x:c r="AF201" s="41"/>
      <x:c r="AG201" s="58" t="str">
        <x:f>IF(A201="","",IFERROR(VLOOKUP(A201,'الفيدباك'!$C$7:$G$206,5,FALSE),""))</x:f>
      </x:c>
      <x:c r="AH201" s="42" t="str">
        <x:f>IF(A201="","",IFERROR(VLOOKUP(A201,'الفيدباك'!$C$7:$L$206,10,FALSE),""))</x:f>
      </x:c>
      <x:c r="AI201" s="41"/>
      <x:c r="AJ201" s="42" t="str">
        <x:f>IF(A201="","",IF(A201="مثال-احذفه","صف توضيحي - احذفه قبل البدء",IF(X201="","حدّث حالة الطلب",IF(AND(X201&lt;&gt;"تم التوصيل",X201&lt;&gt;"ملغي",X201&lt;&gt;"مرتجع",Z201&lt;&gt;"",Z201&lt;TODAY()),"متأخر عن موعد التوصيل",IF(AND(X201="تم التوصيل",W201&gt;0),"حصّل المبلغ المتبقي",IF(AND(X201="تم التوصيل",AD201="موافق",OR(AF201="",AF201="لم يُطلب")),"ابعت لينك الفيدباك",IF(AND(AF201="تم إرسال الرابط",AE201&lt;&gt;"",TODAY()-AE201&gt;=3),"تابع الفيدباك","لا يوجد إجراء عاجل")))))))</x:f>
      </x:c>
    </x:row>
    <x:row r="202" ht="31" customHeight="1">
      <x:c r="A202" s="41"/>
      <x:c r="B202" s="46"/>
      <x:c r="C202" s="41"/>
      <x:c r="D202" s="41"/>
      <x:c r="E202" s="50"/>
      <x:c r="F202" s="41"/>
      <x:c r="G202" s="41"/>
      <x:c r="H202" s="41"/>
      <x:c r="I202" s="52"/>
      <x:c r="J202" s="52"/>
      <x:c r="K202" s="53" t="str">
        <x:f>IF(A202="","",I202+J202)</x:f>
      </x:c>
      <x:c r="L202" s="55" t="str">
        <x:f>IF(A202="","",IF(H202="عرض 2 بـ120",'القوائم والإعدادات'!$B$6/2,IF(H202="عينة",0,'القوائم والإعدادات'!$B$5)))</x:f>
      </x:c>
      <x:c r="M202" s="55" t="str">
        <x:f>IF(A202="","",K202*L202)</x:f>
      </x:c>
      <x:c r="N202" s="56"/>
      <x:c r="O202" s="56"/>
      <x:c r="P202" s="56"/>
      <x:c r="Q202" s="55" t="str">
        <x:f>IF(A202="","",MAX(0,M202-N202+O202))</x:f>
      </x:c>
      <x:c r="R202" s="55" t="str">
        <x:f>IF(A202="","",I202*'المخزون'!$L$6+J202*'المخزون'!$L$7)</x:f>
      </x:c>
      <x:c r="S202" s="55" t="str">
        <x:f>IF(A202="","",Q202-R202-P202)</x:f>
      </x:c>
      <x:c r="T202" s="41"/>
      <x:c r="U202" s="41"/>
      <x:c r="V202" s="56"/>
      <x:c r="W202" s="55" t="str">
        <x:f>IF(A202="","",MAX(0,Q202-V202))</x:f>
      </x:c>
      <x:c r="X202" s="41"/>
      <x:c r="Y202" s="41"/>
      <x:c r="Z202" s="48"/>
      <x:c r="AA202" s="48"/>
      <x:c r="AB202" s="41"/>
      <x:c r="AC202" s="41"/>
      <x:c r="AD202" s="41"/>
      <x:c r="AE202" s="48"/>
      <x:c r="AF202" s="41"/>
      <x:c r="AG202" s="58" t="str">
        <x:f>IF(A202="","",IFERROR(VLOOKUP(A202,'الفيدباك'!$C$7:$G$206,5,FALSE),""))</x:f>
      </x:c>
      <x:c r="AH202" s="42" t="str">
        <x:f>IF(A202="","",IFERROR(VLOOKUP(A202,'الفيدباك'!$C$7:$L$206,10,FALSE),""))</x:f>
      </x:c>
      <x:c r="AI202" s="41"/>
      <x:c r="AJ202" s="42" t="str">
        <x:f>IF(A202="","",IF(A202="مثال-احذفه","صف توضيحي - احذفه قبل البدء",IF(X202="","حدّث حالة الطلب",IF(AND(X202&lt;&gt;"تم التوصيل",X202&lt;&gt;"ملغي",X202&lt;&gt;"مرتجع",Z202&lt;&gt;"",Z202&lt;TODAY()),"متأخر عن موعد التوصيل",IF(AND(X202="تم التوصيل",W202&gt;0),"حصّل المبلغ المتبقي",IF(AND(X202="تم التوصيل",AD202="موافق",OR(AF202="",AF202="لم يُطلب")),"ابعت لينك الفيدباك",IF(AND(AF202="تم إرسال الرابط",AE202&lt;&gt;"",TODAY()-AE202&gt;=3),"تابع الفيدباك","لا يوجد إجراء عاجل")))))))</x:f>
      </x:c>
    </x:row>
    <x:row r="203" ht="31" customHeight="1">
      <x:c r="A203" s="41"/>
      <x:c r="B203" s="46"/>
      <x:c r="C203" s="41"/>
      <x:c r="D203" s="41"/>
      <x:c r="E203" s="50"/>
      <x:c r="F203" s="41"/>
      <x:c r="G203" s="41"/>
      <x:c r="H203" s="41"/>
      <x:c r="I203" s="52"/>
      <x:c r="J203" s="52"/>
      <x:c r="K203" s="53" t="str">
        <x:f>IF(A203="","",I203+J203)</x:f>
      </x:c>
      <x:c r="L203" s="55" t="str">
        <x:f>IF(A203="","",IF(H203="عرض 2 بـ120",'القوائم والإعدادات'!$B$6/2,IF(H203="عينة",0,'القوائم والإعدادات'!$B$5)))</x:f>
      </x:c>
      <x:c r="M203" s="55" t="str">
        <x:f>IF(A203="","",K203*L203)</x:f>
      </x:c>
      <x:c r="N203" s="56"/>
      <x:c r="O203" s="56"/>
      <x:c r="P203" s="56"/>
      <x:c r="Q203" s="55" t="str">
        <x:f>IF(A203="","",MAX(0,M203-N203+O203))</x:f>
      </x:c>
      <x:c r="R203" s="55" t="str">
        <x:f>IF(A203="","",I203*'المخزون'!$L$6+J203*'المخزون'!$L$7)</x:f>
      </x:c>
      <x:c r="S203" s="55" t="str">
        <x:f>IF(A203="","",Q203-R203-P203)</x:f>
      </x:c>
      <x:c r="T203" s="41"/>
      <x:c r="U203" s="41"/>
      <x:c r="V203" s="56"/>
      <x:c r="W203" s="55" t="str">
        <x:f>IF(A203="","",MAX(0,Q203-V203))</x:f>
      </x:c>
      <x:c r="X203" s="41"/>
      <x:c r="Y203" s="41"/>
      <x:c r="Z203" s="48"/>
      <x:c r="AA203" s="48"/>
      <x:c r="AB203" s="41"/>
      <x:c r="AC203" s="41"/>
      <x:c r="AD203" s="41"/>
      <x:c r="AE203" s="48"/>
      <x:c r="AF203" s="41"/>
      <x:c r="AG203" s="58" t="str">
        <x:f>IF(A203="","",IFERROR(VLOOKUP(A203,'الفيدباك'!$C$7:$G$206,5,FALSE),""))</x:f>
      </x:c>
      <x:c r="AH203" s="42" t="str">
        <x:f>IF(A203="","",IFERROR(VLOOKUP(A203,'الفيدباك'!$C$7:$L$206,10,FALSE),""))</x:f>
      </x:c>
      <x:c r="AI203" s="41"/>
      <x:c r="AJ203" s="42" t="str">
        <x:f>IF(A203="","",IF(A203="مثال-احذفه","صف توضيحي - احذفه قبل البدء",IF(X203="","حدّث حالة الطلب",IF(AND(X203&lt;&gt;"تم التوصيل",X203&lt;&gt;"ملغي",X203&lt;&gt;"مرتجع",Z203&lt;&gt;"",Z203&lt;TODAY()),"متأخر عن موعد التوصيل",IF(AND(X203="تم التوصيل",W203&gt;0),"حصّل المبلغ المتبقي",IF(AND(X203="تم التوصيل",AD203="موافق",OR(AF203="",AF203="لم يُطلب")),"ابعت لينك الفيدباك",IF(AND(AF203="تم إرسال الرابط",AE203&lt;&gt;"",TODAY()-AE203&gt;=3),"تابع الفيدباك","لا يوجد إجراء عاجل")))))))</x:f>
      </x:c>
    </x:row>
    <x:row r="204" ht="31" customHeight="1">
      <x:c r="A204" s="41"/>
      <x:c r="B204" s="46"/>
      <x:c r="C204" s="41"/>
      <x:c r="D204" s="41"/>
      <x:c r="E204" s="50"/>
      <x:c r="F204" s="41"/>
      <x:c r="G204" s="41"/>
      <x:c r="H204" s="41"/>
      <x:c r="I204" s="52"/>
      <x:c r="J204" s="52"/>
      <x:c r="K204" s="53" t="str">
        <x:f>IF(A204="","",I204+J204)</x:f>
      </x:c>
      <x:c r="L204" s="55" t="str">
        <x:f>IF(A204="","",IF(H204="عرض 2 بـ120",'القوائم والإعدادات'!$B$6/2,IF(H204="عينة",0,'القوائم والإعدادات'!$B$5)))</x:f>
      </x:c>
      <x:c r="M204" s="55" t="str">
        <x:f>IF(A204="","",K204*L204)</x:f>
      </x:c>
      <x:c r="N204" s="56"/>
      <x:c r="O204" s="56"/>
      <x:c r="P204" s="56"/>
      <x:c r="Q204" s="55" t="str">
        <x:f>IF(A204="","",MAX(0,M204-N204+O204))</x:f>
      </x:c>
      <x:c r="R204" s="55" t="str">
        <x:f>IF(A204="","",I204*'المخزون'!$L$6+J204*'المخزون'!$L$7)</x:f>
      </x:c>
      <x:c r="S204" s="55" t="str">
        <x:f>IF(A204="","",Q204-R204-P204)</x:f>
      </x:c>
      <x:c r="T204" s="41"/>
      <x:c r="U204" s="41"/>
      <x:c r="V204" s="56"/>
      <x:c r="W204" s="55" t="str">
        <x:f>IF(A204="","",MAX(0,Q204-V204))</x:f>
      </x:c>
      <x:c r="X204" s="41"/>
      <x:c r="Y204" s="41"/>
      <x:c r="Z204" s="48"/>
      <x:c r="AA204" s="48"/>
      <x:c r="AB204" s="41"/>
      <x:c r="AC204" s="41"/>
      <x:c r="AD204" s="41"/>
      <x:c r="AE204" s="48"/>
      <x:c r="AF204" s="41"/>
      <x:c r="AG204" s="58" t="str">
        <x:f>IF(A204="","",IFERROR(VLOOKUP(A204,'الفيدباك'!$C$7:$G$206,5,FALSE),""))</x:f>
      </x:c>
      <x:c r="AH204" s="42" t="str">
        <x:f>IF(A204="","",IFERROR(VLOOKUP(A204,'الفيدباك'!$C$7:$L$206,10,FALSE),""))</x:f>
      </x:c>
      <x:c r="AI204" s="41"/>
      <x:c r="AJ204" s="42" t="str">
        <x:f>IF(A204="","",IF(A204="مثال-احذفه","صف توضيحي - احذفه قبل البدء",IF(X204="","حدّث حالة الطلب",IF(AND(X204&lt;&gt;"تم التوصيل",X204&lt;&gt;"ملغي",X204&lt;&gt;"مرتجع",Z204&lt;&gt;"",Z204&lt;TODAY()),"متأخر عن موعد التوصيل",IF(AND(X204="تم التوصيل",W204&gt;0),"حصّل المبلغ المتبقي",IF(AND(X204="تم التوصيل",AD204="موافق",OR(AF204="",AF204="لم يُطلب")),"ابعت لينك الفيدباك",IF(AND(AF204="تم إرسال الرابط",AE204&lt;&gt;"",TODAY()-AE204&gt;=3),"تابع الفيدباك","لا يوجد إجراء عاجل")))))))</x:f>
      </x:c>
    </x:row>
    <x:row r="205" ht="31" customHeight="1">
      <x:c r="A205" s="41"/>
      <x:c r="B205" s="46"/>
      <x:c r="C205" s="41"/>
      <x:c r="D205" s="41"/>
      <x:c r="E205" s="50"/>
      <x:c r="F205" s="41"/>
      <x:c r="G205" s="41"/>
      <x:c r="H205" s="41"/>
      <x:c r="I205" s="52"/>
      <x:c r="J205" s="52"/>
      <x:c r="K205" s="53" t="str">
        <x:f>IF(A205="","",I205+J205)</x:f>
      </x:c>
      <x:c r="L205" s="55" t="str">
        <x:f>IF(A205="","",IF(H205="عرض 2 بـ120",'القوائم والإعدادات'!$B$6/2,IF(H205="عينة",0,'القوائم والإعدادات'!$B$5)))</x:f>
      </x:c>
      <x:c r="M205" s="55" t="str">
        <x:f>IF(A205="","",K205*L205)</x:f>
      </x:c>
      <x:c r="N205" s="56"/>
      <x:c r="O205" s="56"/>
      <x:c r="P205" s="56"/>
      <x:c r="Q205" s="55" t="str">
        <x:f>IF(A205="","",MAX(0,M205-N205+O205))</x:f>
      </x:c>
      <x:c r="R205" s="55" t="str">
        <x:f>IF(A205="","",I205*'المخزون'!$L$6+J205*'المخزون'!$L$7)</x:f>
      </x:c>
      <x:c r="S205" s="55" t="str">
        <x:f>IF(A205="","",Q205-R205-P205)</x:f>
      </x:c>
      <x:c r="T205" s="41"/>
      <x:c r="U205" s="41"/>
      <x:c r="V205" s="56"/>
      <x:c r="W205" s="55" t="str">
        <x:f>IF(A205="","",MAX(0,Q205-V205))</x:f>
      </x:c>
      <x:c r="X205" s="41"/>
      <x:c r="Y205" s="41"/>
      <x:c r="Z205" s="48"/>
      <x:c r="AA205" s="48"/>
      <x:c r="AB205" s="41"/>
      <x:c r="AC205" s="41"/>
      <x:c r="AD205" s="41"/>
      <x:c r="AE205" s="48"/>
      <x:c r="AF205" s="41"/>
      <x:c r="AG205" s="58" t="str">
        <x:f>IF(A205="","",IFERROR(VLOOKUP(A205,'الفيدباك'!$C$7:$G$206,5,FALSE),""))</x:f>
      </x:c>
      <x:c r="AH205" s="42" t="str">
        <x:f>IF(A205="","",IFERROR(VLOOKUP(A205,'الفيدباك'!$C$7:$L$206,10,FALSE),""))</x:f>
      </x:c>
      <x:c r="AI205" s="41"/>
      <x:c r="AJ205" s="42" t="str">
        <x:f>IF(A205="","",IF(A205="مثال-احذفه","صف توضيحي - احذفه قبل البدء",IF(X205="","حدّث حالة الطلب",IF(AND(X205&lt;&gt;"تم التوصيل",X205&lt;&gt;"ملغي",X205&lt;&gt;"مرتجع",Z205&lt;&gt;"",Z205&lt;TODAY()),"متأخر عن موعد التوصيل",IF(AND(X205="تم التوصيل",W205&gt;0),"حصّل المبلغ المتبقي",IF(AND(X205="تم التوصيل",AD205="موافق",OR(AF205="",AF205="لم يُطلب")),"ابعت لينك الفيدباك",IF(AND(AF205="تم إرسال الرابط",AE205&lt;&gt;"",TODAY()-AE205&gt;=3),"تابع الفيدباك","لا يوجد إجراء عاجل")))))))</x:f>
      </x:c>
    </x:row>
    <x:row r="206" ht="31" customHeight="1">
      <x:c r="A206" s="41"/>
      <x:c r="B206" s="46"/>
      <x:c r="C206" s="41"/>
      <x:c r="D206" s="41"/>
      <x:c r="E206" s="50"/>
      <x:c r="F206" s="41"/>
      <x:c r="G206" s="41"/>
      <x:c r="H206" s="41"/>
      <x:c r="I206" s="52"/>
      <x:c r="J206" s="52"/>
      <x:c r="K206" s="53" t="str">
        <x:f>IF(A206="","",I206+J206)</x:f>
      </x:c>
      <x:c r="L206" s="55" t="str">
        <x:f>IF(A206="","",IF(H206="عرض 2 بـ120",'القوائم والإعدادات'!$B$6/2,IF(H206="عينة",0,'القوائم والإعدادات'!$B$5)))</x:f>
      </x:c>
      <x:c r="M206" s="55" t="str">
        <x:f>IF(A206="","",K206*L206)</x:f>
      </x:c>
      <x:c r="N206" s="56"/>
      <x:c r="O206" s="56"/>
      <x:c r="P206" s="56"/>
      <x:c r="Q206" s="55" t="str">
        <x:f>IF(A206="","",MAX(0,M206-N206+O206))</x:f>
      </x:c>
      <x:c r="R206" s="55" t="str">
        <x:f>IF(A206="","",I206*'المخزون'!$L$6+J206*'المخزون'!$L$7)</x:f>
      </x:c>
      <x:c r="S206" s="55" t="str">
        <x:f>IF(A206="","",Q206-R206-P206)</x:f>
      </x:c>
      <x:c r="T206" s="41"/>
      <x:c r="U206" s="41"/>
      <x:c r="V206" s="56"/>
      <x:c r="W206" s="55" t="str">
        <x:f>IF(A206="","",MAX(0,Q206-V206))</x:f>
      </x:c>
      <x:c r="X206" s="41"/>
      <x:c r="Y206" s="41"/>
      <x:c r="Z206" s="48"/>
      <x:c r="AA206" s="48"/>
      <x:c r="AB206" s="41"/>
      <x:c r="AC206" s="41"/>
      <x:c r="AD206" s="41"/>
      <x:c r="AE206" s="48"/>
      <x:c r="AF206" s="41"/>
      <x:c r="AG206" s="58" t="str">
        <x:f>IF(A206="","",IFERROR(VLOOKUP(A206,'الفيدباك'!$C$7:$G$206,5,FALSE),""))</x:f>
      </x:c>
      <x:c r="AH206" s="42" t="str">
        <x:f>IF(A206="","",IFERROR(VLOOKUP(A206,'الفيدباك'!$C$7:$L$206,10,FALSE),""))</x:f>
      </x:c>
      <x:c r="AI206" s="41"/>
      <x:c r="AJ206" s="42" t="str">
        <x:f>IF(A206="","",IF(A206="مثال-احذفه","صف توضيحي - احذفه قبل البدء",IF(X206="","حدّث حالة الطلب",IF(AND(X206&lt;&gt;"تم التوصيل",X206&lt;&gt;"ملغي",X206&lt;&gt;"مرتجع",Z206&lt;&gt;"",Z206&lt;TODAY()),"متأخر عن موعد التوصيل",IF(AND(X206="تم التوصيل",W206&gt;0),"حصّل المبلغ المتبقي",IF(AND(X206="تم التوصيل",AD206="موافق",OR(AF206="",AF206="لم يُطلب")),"ابعت لينك الفيدباك",IF(AND(AF206="تم إرسال الرابط",AE206&lt;&gt;"",TODAY()-AE206&gt;=3),"تابع الفيدباك","لا يوجد إجراء عاجل")))))))</x:f>
      </x:c>
    </x:row>
  </x:sheetData>
  <x:mergeCells>
    <x:mergeCell ref="A1:AJ1"/>
    <x:mergeCell ref="A2:AJ2"/>
    <x:mergeCell ref="A3:AJ3"/>
  </x:mergeCells>
  <x:conditionalFormatting sqref="S7:S206">
    <x:cfRule type="cellIs" dxfId="2" priority="1" operator="lessThan">
      <x:formula>0</x:formula>
    </x:cfRule>
  </x:conditionalFormatting>
  <x:conditionalFormatting sqref="W7:W206">
    <x:cfRule type="cellIs" dxfId="3" priority="2" operator="greaterThan">
      <x:formula>0</x:formula>
    </x:cfRule>
  </x:conditionalFormatting>
  <x:conditionalFormatting sqref="X7:X206">
    <x:cfRule type="containsText" dxfId="4" priority="3" operator="containsText" text="تم التوصيل"/>
    <x:cfRule type="containsText" dxfId="5" priority="4" operator="containsText" text="ملغي"/>
  </x:conditionalFormatting>
  <x:conditionalFormatting sqref="AJ7:AJ206">
    <x:cfRule type="containsText" dxfId="6" priority="5" operator="containsText" text="متأخر"/>
    <x:cfRule type="containsText" dxfId="7" priority="6" operator="containsText" text="حصّل"/>
    <x:cfRule type="containsText" dxfId="8" priority="7" operator="containsText" text="الفيدباك"/>
  </x:conditionalFormatting>
  <x:dataValidations count="11">
    <x:dataValidation type="list" sqref="C7:C206">
      <x:formula1>"واتساب,الاستبيان,إنستجرام,فيسبوك,ترشيح,شركة,بازار/فعالية,أخرى"</x:formula1>
    </x:dataValidation>
    <x:dataValidation type="list" sqref="H7:H206">
      <x:formula1>"سعر عادي,عرض 2 بـ120,عينة,طلب شركة,أخرى"</x:formula1>
    </x:dataValidation>
    <x:dataValidation type="list" sqref="T7:T206">
      <x:formula1>"كاش عند الاستلام,إنستاباي,تحويل بنكي,كاش,مجاني/عينة"</x:formula1>
    </x:dataValidation>
    <x:dataValidation type="list" sqref="U7:U206">
      <x:formula1>"غير مدفوع,مدفوع جزئيًا,مدفوع,مسترد"</x:formula1>
    </x:dataValidation>
    <x:dataValidation type="list" sqref="X7:X206">
      <x:formula1>"جديد,مؤكد,جاري التجهيز,جاهز,خرج للتوصيل,تم التوصيل,ملغي,مرتجع"</x:formula1>
    </x:dataValidation>
    <x:dataValidation type="list" sqref="AC7:AC206">
      <x:formula1>"ناجح,لم يرد,تأجيل,عنوان غير صحيح,رفض الاستلام,مرتجع"</x:formula1>
    </x:dataValidation>
    <x:dataValidation type="list" sqref="AD7:AD206">
      <x:formula1>"موافق,غير موافق,اسأله لاحقًا"</x:formula1>
    </x:dataValidation>
    <x:dataValidation type="list" sqref="AF7:AF206">
      <x:formula1>"لم يُطلب,تم إرسال الرابط,تم الاستلام,رفض"</x:formula1>
    </x:dataValidation>
    <x:dataValidation type="whole" operator="greaterThanOrEqual" sqref="I7:J206">
      <x:formula1>0</x:formula1>
    </x:dataValidation>
    <x:dataValidation type="whole" operator="greaterThanOrEqual" sqref="N7:P206">
      <x:formula1>0</x:formula1>
    </x:dataValidation>
    <x:dataValidation type="whole" operator="greaterThanOrEqual" sqref="V7:V20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f1b85793c144d7"/>
  </x:tableParts>
</x:worksheet>
</file>

<file path=xl/worksheets/sheet3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0" hidden="0" customWidth="1"/>
    <x:col min="12" max="12" width="19" hidden="0" customWidth="1"/>
    <x:col min="13" max="13" width="19" hidden="0" customWidth="1"/>
  </x:cols>
  <x:sheetData>
    <x:row r="1" ht="34" customHeight="1">
      <x:c r="A1" s="4" t="str">
        <x:v>EasyOats | المخزون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4" customHeight="1">
      <x:c r="A2" s="9" t="str">
        <x:v>الرصيد الافتتاحي مضبوط على إنتاج الـMVP: 238 عسل ولبن + 250 دبس تمر ولبن. عدّله لو تم صرف عينات قبل بدء التسجيل.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</x:row>
    <x:row r="5" ht="42" customHeight="1">
      <x:c r="A5" s="15" t="str">
        <x:v>SKU</x:v>
      </x:c>
      <x:c r="B5" s="15" t="str">
        <x:v>المنتج</x:v>
      </x:c>
      <x:c r="C5" s="15" t="str">
        <x:v>رصيد أول المدة</x:v>
      </x:c>
      <x:c r="D5" s="15" t="str">
        <x:v>إضافات المخزون</x:v>
      </x:c>
      <x:c r="E5" s="15" t="str">
        <x:v>محجوز لطلبات نشطة</x:v>
      </x:c>
      <x:c r="F5" s="15" t="str">
        <x:v>تم توصيله</x:v>
      </x:c>
      <x:c r="G5" s="15" t="str">
        <x:v>المتاح للبيع</x:v>
      </x:c>
      <x:c r="H5" s="15" t="str">
        <x:v>الجرد الفعلي</x:v>
      </x:c>
      <x:c r="I5" s="15" t="str">
        <x:v>فرق الجرد</x:v>
      </x:c>
      <x:c r="J5" s="15" t="str">
        <x:v>حد إعادة الطلب</x:v>
      </x:c>
      <x:c r="K5" s="15" t="str">
        <x:v>حالة المخزون</x:v>
      </x:c>
      <x:c r="L5" s="15" t="str">
        <x:v>تكلفة الوحدة التقديرية</x:v>
      </x:c>
      <x:c r="M5" s="15" t="str">
        <x:v>قيمة المخزون المتاح</x:v>
      </x:c>
    </x:row>
    <x:row r="6">
      <x:c r="A6" s="29" t="str">
        <x:v>EO-HONEY</x:v>
      </x:c>
      <x:c r="B6" s="29" t="str">
        <x:v>عسل ولبن</x:v>
      </x:c>
      <x:c r="C6" s="32" t="n">
        <x:v>238</x:v>
      </x:c>
      <x:c r="D6" s="32" t="n">
        <x:v>0</x:v>
      </x:c>
      <x:c r="E6" s="33" t="n">
        <x:f>SUMIFS('الطلبات'!$I$7:$I$206,'الطلبات'!$A$7:$A$206,"&lt;&gt;",'الطلبات'!$A$7:$A$206,"&lt;&gt;مثال-احذفه",'الطلبات'!$X$7:$X$206,"&lt;&gt;تم التوصيل",'الطلبات'!$X$7:$X$206,"&lt;&gt;ملغي",'الطلبات'!$X$7:$X$206,"&lt;&gt;مرتجع")</x:f>
        <x:v>0</x:v>
      </x:c>
      <x:c r="F6" s="33" t="n">
        <x:f>SUMIFS('الطلبات'!$I$7:$I$206,'الطلبات'!$A$7:$A$206,"&lt;&gt;مثال-احذفه",'الطلبات'!$X$7:$X$206,"تم التوصيل")</x:f>
        <x:v>0</x:v>
      </x:c>
      <x:c r="G6" s="33" t="n">
        <x:f>C6+D6-E6-F6</x:f>
        <x:v>238</x:v>
      </x:c>
      <x:c r="H6" s="32"/>
      <x:c r="I6" s="33" t="str">
        <x:f>IF(H6="","",H6-(C6+D6-F6))</x:f>
      </x:c>
      <x:c r="J6" s="32" t="n">
        <x:v>50</x:v>
      </x:c>
      <x:c r="K6" s="31" t="str">
        <x:f>IF(G6&lt;=J6,"اطلب تصنيع جديد","مطمئن")</x:f>
        <x:v>مطمئن</x:v>
      </x:c>
      <x:c r="L6" s="34" t="n">
        <x:v>40.7</x:v>
      </x:c>
      <x:c r="M6" s="35" t="n">
        <x:f>G6*L6</x:f>
        <x:v>9686.6</x:v>
      </x:c>
    </x:row>
    <x:row r="7">
      <x:c r="A7" s="29" t="str">
        <x:v>EO-DATE</x:v>
      </x:c>
      <x:c r="B7" s="29" t="str">
        <x:v>دبس تمر ولبن</x:v>
      </x:c>
      <x:c r="C7" s="32" t="n">
        <x:v>250</x:v>
      </x:c>
      <x:c r="D7" s="32" t="n">
        <x:v>0</x:v>
      </x:c>
      <x:c r="E7" s="33" t="n">
        <x:f>SUMIFS('الطلبات'!$J$7:$J$206,'الطلبات'!$A$7:$A$206,"&lt;&gt;",'الطلبات'!$A$7:$A$206,"&lt;&gt;مثال-احذفه",'الطلبات'!$X$7:$X$206,"&lt;&gt;تم التوصيل",'الطلبات'!$X$7:$X$206,"&lt;&gt;ملغي",'الطلبات'!$X$7:$X$206,"&lt;&gt;مرتجع")</x:f>
        <x:v>0</x:v>
      </x:c>
      <x:c r="F7" s="33" t="n">
        <x:f>SUMIFS('الطلبات'!$J$7:$J$206,'الطلبات'!$A$7:$A$206,"&lt;&gt;مثال-احذفه",'الطلبات'!$X$7:$X$206,"تم التوصيل")</x:f>
        <x:v>0</x:v>
      </x:c>
      <x:c r="G7" s="33" t="n">
        <x:f>C7+D7-E7-F7</x:f>
        <x:v>250</x:v>
      </x:c>
      <x:c r="H7" s="32"/>
      <x:c r="I7" s="33" t="str">
        <x:f>IF(H7="","",H7-(C7+D7-F7))</x:f>
      </x:c>
      <x:c r="J7" s="32" t="n">
        <x:v>50</x:v>
      </x:c>
      <x:c r="K7" s="31" t="str">
        <x:f>IF(G7&lt;=J7,"اطلب تصنيع جديد","مطمئن")</x:f>
        <x:v>مطمئن</x:v>
      </x:c>
      <x:c r="L7" s="34" t="n">
        <x:v>41.8</x:v>
      </x:c>
      <x:c r="M7" s="35" t="n">
        <x:f>G7*L7</x:f>
        <x:v>10450</x:v>
      </x:c>
    </x:row>
  </x:sheetData>
  <x:mergeCells>
    <x:mergeCell ref="A1:M1"/>
    <x:mergeCell ref="A2:M2"/>
  </x:mergeCells>
  <x:conditionalFormatting sqref="K6:K7">
    <x:cfRule type="containsText" dxfId="0" priority="1" operator="containsText" text="اطلب تصنيع جديد"/>
    <x:cfRule type="containsText" dxfId="1" priority="2" operator="containsText" text="مطمئن"/>
  </x:conditionalFormatting>
  <x:pageMargins left="0.7" right="0.7" top="0.75" bottom="0.75" header="0.3" footer="0.3"/>
  <x:tableParts count="1">
    <x:tablePart xmlns:r="http://schemas.openxmlformats.org/officeDocument/2006/relationships" r:id="R5cf0b086ed5b4f3f"/>
  </x:tableParts>
</x:worksheet>
</file>

<file path=xl/worksheets/sheet4.xml><?xml version="1.0" encoding="utf-8"?>
<x:worksheet xmlns:x="http://schemas.openxmlformats.org/spreadsheetml/2006/main">
  <x:sheetViews>
    <x:sheetView workbookViewId="0">
      <x:pane xSplit="3" ySplit="6" topLeftCell="D7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5" hidden="0" customWidth="1"/>
    <x:col min="6" max="6" width="16" hidden="0" customWidth="1"/>
    <x:col min="7" max="7" width="15" hidden="0" customWidth="1"/>
    <x:col min="8" max="8" width="13" hidden="0" customWidth="1"/>
    <x:col min="9" max="9" width="16" hidden="0" customWidth="1"/>
    <x:col min="10" max="10" width="17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0" hidden="0" customWidth="1"/>
    <x:col min="16" max="16" width="15" hidden="0" customWidth="1"/>
    <x:col min="17" max="17" width="18" hidden="0" customWidth="1"/>
    <x:col min="18" max="18" width="17" hidden="0" customWidth="1"/>
    <x:col min="19" max="19" width="28" hidden="0" customWidth="1"/>
  </x:cols>
  <x:sheetData>
    <x:row r="1" ht="34" customHeight="1">
      <x:c r="A1" s="4" t="str">
        <x:v>EasyOats | الفيدباك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4" customHeight="1">
      <x:c r="A2" s="9" t="str">
        <x:v>استخدم رقم الطلب نفسه لربط الرد بالعميل. سجّل ردود واتساب هنا، والصق/اربط ردود Google Form بنفس الأعمدة لاحقًا.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</x:row>
    <x:row r="3">
      <x:c r="A3" s="38" t="str">
        <x:v>لا تتواصل للفيدباك إلا لو العميل وافق. لو ظهرت مشكلة، عيّن مسؤول متابعة وحدّث حالتها لحد ما تتحل.</x:v>
      </x:c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</x:row>
    <x:row r="6" ht="48" customHeight="1">
      <x:c r="A6" s="15" t="str">
        <x:v>رقم الفيدباك</x:v>
      </x:c>
      <x:c r="B6" s="15" t="str">
        <x:v>تاريخ الرد</x:v>
      </x:c>
      <x:c r="C6" s="15" t="str">
        <x:v>رقم الطلب</x:v>
      </x:c>
      <x:c r="D6" s="15" t="str">
        <x:v>اسم العميل</x:v>
      </x:c>
      <x:c r="E6" s="15" t="str">
        <x:v>المصدر</x:v>
      </x:c>
      <x:c r="F6" s="15" t="str">
        <x:v>الموافقة مؤكدة؟</x:v>
      </x:c>
      <x:c r="G6" s="15" t="str">
        <x:v>التقييم العام 1–5</x:v>
      </x:c>
      <x:c r="H6" s="15" t="str">
        <x:v>الطعم 1–5</x:v>
      </x:c>
      <x:c r="I6" s="15" t="str">
        <x:v>حجم الوجبة 1–5</x:v>
      </x:c>
      <x:c r="J6" s="15" t="str">
        <x:v>سهولة التحضير 1–5</x:v>
      </x:c>
      <x:c r="K6" s="15" t="str">
        <x:v>القيمة مقابل السعر 1–5</x:v>
      </x:c>
      <x:c r="L6" s="15" t="str">
        <x:v>هل سيشتري مرة أخرى؟</x:v>
      </x:c>
      <x:c r="M6" s="15" t="str">
        <x:v>احتمال الترشيح 0–10</x:v>
      </x:c>
      <x:c r="N6" s="15" t="str">
        <x:v>النكهة المفضلة</x:v>
      </x:c>
      <x:c r="O6" s="15" t="str">
        <x:v>التعليق</x:v>
      </x:c>
      <x:c r="P6" s="15" t="str">
        <x:v>توجد مشكلة؟</x:v>
      </x:c>
      <x:c r="Q6" s="15" t="str">
        <x:v>مسؤول المتابعة</x:v>
      </x:c>
      <x:c r="R6" s="15" t="str">
        <x:v>حالة المتابعة</x:v>
      </x:c>
      <x:c r="S6" s="15" t="str">
        <x:v>ملاحظات الحل</x:v>
      </x:c>
    </x:row>
    <x:row r="7" ht="31" customHeight="1">
      <x:c r="A7" s="44" t="str">
        <x:v>FB-EXAMPLE</x:v>
      </x:c>
      <x:c r="B7" s="47" t="n">
        <x:v>46283</x:v>
      </x:c>
      <x:c r="C7" s="44" t="str">
        <x:v>مثال-احذفه</x:v>
      </x:c>
      <x:c r="D7" s="44" t="str">
        <x:f>IF(C7="","",IFERROR(VLOOKUP(C7,'الطلبات'!$A$7:$D$206,4,FALSE),""))</x:f>
        <x:v>عميل تجريبي</x:v>
      </x:c>
      <x:c r="E7" s="44" t="str">
        <x:v>Google Form</x:v>
      </x:c>
      <x:c r="F7" s="44" t="str">
        <x:v>نعم</x:v>
      </x:c>
      <x:c r="G7" s="51" t="n">
        <x:v>5</x:v>
      </x:c>
      <x:c r="H7" s="51" t="n">
        <x:v>5</x:v>
      </x:c>
      <x:c r="I7" s="51" t="n">
        <x:v>4</x:v>
      </x:c>
      <x:c r="J7" s="51" t="n">
        <x:v>5</x:v>
      </x:c>
      <x:c r="K7" s="51" t="n">
        <x:v>4</x:v>
      </x:c>
      <x:c r="L7" s="44" t="str">
        <x:v>نعم</x:v>
      </x:c>
      <x:c r="M7" s="51" t="n">
        <x:v>9</x:v>
      </x:c>
      <x:c r="N7" s="44" t="str">
        <x:v>الاثنان</x:v>
      </x:c>
      <x:c r="O7" s="44" t="str">
        <x:v>طعمه حلو وسهل التحضير</x:v>
      </x:c>
      <x:c r="P7" s="44" t="str">
        <x:v>لا</x:v>
      </x:c>
      <x:c r="Q7" s="44" t="str">
        <x:v>Eslam</x:v>
      </x:c>
      <x:c r="R7" s="44" t="str">
        <x:v>لا تحتاج</x:v>
      </x:c>
      <x:c r="S7" s="44" t="str">
        <x:v>—</x:v>
      </x:c>
    </x:row>
    <x:row r="8" ht="31" customHeight="1">
      <x:c r="A8" s="41"/>
      <x:c r="B8" s="48"/>
      <x:c r="C8" s="41"/>
      <x:c r="D8" s="42" t="str">
        <x:f>IF(C8="","",IFERROR(VLOOKUP(C8,'الطلبات'!$A$7:$D$206,4,FALSE),""))</x:f>
      </x:c>
      <x:c r="E8" s="41"/>
      <x:c r="F8" s="41"/>
      <x:c r="G8" s="52"/>
      <x:c r="H8" s="52"/>
      <x:c r="I8" s="52"/>
      <x:c r="J8" s="52"/>
      <x:c r="K8" s="52"/>
      <x:c r="L8" s="41"/>
      <x:c r="M8" s="52"/>
      <x:c r="N8" s="41"/>
      <x:c r="O8" s="41"/>
      <x:c r="P8" s="41"/>
      <x:c r="Q8" s="41"/>
      <x:c r="R8" s="41"/>
      <x:c r="S8" s="41"/>
    </x:row>
    <x:row r="9" ht="31" customHeight="1">
      <x:c r="A9" s="41"/>
      <x:c r="B9" s="48"/>
      <x:c r="C9" s="41"/>
      <x:c r="D9" s="42" t="str">
        <x:f>IF(C9="","",IFERROR(VLOOKUP(C9,'الطلبات'!$A$7:$D$206,4,FALSE),""))</x:f>
      </x:c>
      <x:c r="E9" s="41"/>
      <x:c r="F9" s="41"/>
      <x:c r="G9" s="52"/>
      <x:c r="H9" s="52"/>
      <x:c r="I9" s="52"/>
      <x:c r="J9" s="52"/>
      <x:c r="K9" s="52"/>
      <x:c r="L9" s="41"/>
      <x:c r="M9" s="52"/>
      <x:c r="N9" s="41"/>
      <x:c r="O9" s="41"/>
      <x:c r="P9" s="41"/>
      <x:c r="Q9" s="41"/>
      <x:c r="R9" s="41"/>
      <x:c r="S9" s="41"/>
    </x:row>
    <x:row r="10" ht="31" customHeight="1">
      <x:c r="A10" s="41"/>
      <x:c r="B10" s="48"/>
      <x:c r="C10" s="41"/>
      <x:c r="D10" s="42" t="str">
        <x:f>IF(C10="","",IFERROR(VLOOKUP(C10,'الطلبات'!$A$7:$D$206,4,FALSE),""))</x:f>
      </x:c>
      <x:c r="E10" s="41"/>
      <x:c r="F10" s="41"/>
      <x:c r="G10" s="52"/>
      <x:c r="H10" s="52"/>
      <x:c r="I10" s="52"/>
      <x:c r="J10" s="52"/>
      <x:c r="K10" s="52"/>
      <x:c r="L10" s="41"/>
      <x:c r="M10" s="52"/>
      <x:c r="N10" s="41"/>
      <x:c r="O10" s="41"/>
      <x:c r="P10" s="41"/>
      <x:c r="Q10" s="41"/>
      <x:c r="R10" s="41"/>
      <x:c r="S10" s="41"/>
    </x:row>
    <x:row r="11" ht="31" customHeight="1">
      <x:c r="A11" s="41"/>
      <x:c r="B11" s="48"/>
      <x:c r="C11" s="41"/>
      <x:c r="D11" s="42" t="str">
        <x:f>IF(C11="","",IFERROR(VLOOKUP(C11,'الطلبات'!$A$7:$D$206,4,FALSE),""))</x:f>
      </x:c>
      <x:c r="E11" s="41"/>
      <x:c r="F11" s="41"/>
      <x:c r="G11" s="52"/>
      <x:c r="H11" s="52"/>
      <x:c r="I11" s="52"/>
      <x:c r="J11" s="52"/>
      <x:c r="K11" s="52"/>
      <x:c r="L11" s="41"/>
      <x:c r="M11" s="52"/>
      <x:c r="N11" s="41"/>
      <x:c r="O11" s="41"/>
      <x:c r="P11" s="41"/>
      <x:c r="Q11" s="41"/>
      <x:c r="R11" s="41"/>
      <x:c r="S11" s="41"/>
    </x:row>
    <x:row r="12" ht="31" customHeight="1">
      <x:c r="A12" s="41"/>
      <x:c r="B12" s="48"/>
      <x:c r="C12" s="41"/>
      <x:c r="D12" s="42" t="str">
        <x:f>IF(C12="","",IFERROR(VLOOKUP(C12,'الطلبات'!$A$7:$D$206,4,FALSE),""))</x:f>
      </x:c>
      <x:c r="E12" s="41"/>
      <x:c r="F12" s="41"/>
      <x:c r="G12" s="52"/>
      <x:c r="H12" s="52"/>
      <x:c r="I12" s="52"/>
      <x:c r="J12" s="52"/>
      <x:c r="K12" s="52"/>
      <x:c r="L12" s="41"/>
      <x:c r="M12" s="52"/>
      <x:c r="N12" s="41"/>
      <x:c r="O12" s="41"/>
      <x:c r="P12" s="41"/>
      <x:c r="Q12" s="41"/>
      <x:c r="R12" s="41"/>
      <x:c r="S12" s="41"/>
    </x:row>
    <x:row r="13" ht="31" customHeight="1">
      <x:c r="A13" s="41"/>
      <x:c r="B13" s="48"/>
      <x:c r="C13" s="41"/>
      <x:c r="D13" s="42" t="str">
        <x:f>IF(C13="","",IFERROR(VLOOKUP(C13,'الطلبات'!$A$7:$D$206,4,FALSE),""))</x:f>
      </x:c>
      <x:c r="E13" s="41"/>
      <x:c r="F13" s="41"/>
      <x:c r="G13" s="52"/>
      <x:c r="H13" s="52"/>
      <x:c r="I13" s="52"/>
      <x:c r="J13" s="52"/>
      <x:c r="K13" s="52"/>
      <x:c r="L13" s="41"/>
      <x:c r="M13" s="52"/>
      <x:c r="N13" s="41"/>
      <x:c r="O13" s="41"/>
      <x:c r="P13" s="41"/>
      <x:c r="Q13" s="41"/>
      <x:c r="R13" s="41"/>
      <x:c r="S13" s="41"/>
    </x:row>
    <x:row r="14" ht="31" customHeight="1">
      <x:c r="A14" s="41"/>
      <x:c r="B14" s="48"/>
      <x:c r="C14" s="41"/>
      <x:c r="D14" s="42" t="str">
        <x:f>IF(C14="","",IFERROR(VLOOKUP(C14,'الطلبات'!$A$7:$D$206,4,FALSE),""))</x:f>
      </x:c>
      <x:c r="E14" s="41"/>
      <x:c r="F14" s="41"/>
      <x:c r="G14" s="52"/>
      <x:c r="H14" s="52"/>
      <x:c r="I14" s="52"/>
      <x:c r="J14" s="52"/>
      <x:c r="K14" s="52"/>
      <x:c r="L14" s="41"/>
      <x:c r="M14" s="52"/>
      <x:c r="N14" s="41"/>
      <x:c r="O14" s="41"/>
      <x:c r="P14" s="41"/>
      <x:c r="Q14" s="41"/>
      <x:c r="R14" s="41"/>
      <x:c r="S14" s="41"/>
    </x:row>
    <x:row r="15" ht="31" customHeight="1">
      <x:c r="A15" s="41"/>
      <x:c r="B15" s="48"/>
      <x:c r="C15" s="41"/>
      <x:c r="D15" s="42" t="str">
        <x:f>IF(C15="","",IFERROR(VLOOKUP(C15,'الطلبات'!$A$7:$D$206,4,FALSE),""))</x:f>
      </x:c>
      <x:c r="E15" s="41"/>
      <x:c r="F15" s="41"/>
      <x:c r="G15" s="52"/>
      <x:c r="H15" s="52"/>
      <x:c r="I15" s="52"/>
      <x:c r="J15" s="52"/>
      <x:c r="K15" s="52"/>
      <x:c r="L15" s="41"/>
      <x:c r="M15" s="52"/>
      <x:c r="N15" s="41"/>
      <x:c r="O15" s="41"/>
      <x:c r="P15" s="41"/>
      <x:c r="Q15" s="41"/>
      <x:c r="R15" s="41"/>
      <x:c r="S15" s="41"/>
    </x:row>
    <x:row r="16" ht="31" customHeight="1">
      <x:c r="A16" s="41"/>
      <x:c r="B16" s="48"/>
      <x:c r="C16" s="41"/>
      <x:c r="D16" s="42" t="str">
        <x:f>IF(C16="","",IFERROR(VLOOKUP(C16,'الطلبات'!$A$7:$D$206,4,FALSE),""))</x:f>
      </x:c>
      <x:c r="E16" s="41"/>
      <x:c r="F16" s="41"/>
      <x:c r="G16" s="52"/>
      <x:c r="H16" s="52"/>
      <x:c r="I16" s="52"/>
      <x:c r="J16" s="52"/>
      <x:c r="K16" s="52"/>
      <x:c r="L16" s="41"/>
      <x:c r="M16" s="52"/>
      <x:c r="N16" s="41"/>
      <x:c r="O16" s="41"/>
      <x:c r="P16" s="41"/>
      <x:c r="Q16" s="41"/>
      <x:c r="R16" s="41"/>
      <x:c r="S16" s="41"/>
    </x:row>
    <x:row r="17" ht="31" customHeight="1">
      <x:c r="A17" s="41"/>
      <x:c r="B17" s="48"/>
      <x:c r="C17" s="41"/>
      <x:c r="D17" s="42" t="str">
        <x:f>IF(C17="","",IFERROR(VLOOKUP(C17,'الطلبات'!$A$7:$D$206,4,FALSE),""))</x:f>
      </x:c>
      <x:c r="E17" s="41"/>
      <x:c r="F17" s="41"/>
      <x:c r="G17" s="52"/>
      <x:c r="H17" s="52"/>
      <x:c r="I17" s="52"/>
      <x:c r="J17" s="52"/>
      <x:c r="K17" s="52"/>
      <x:c r="L17" s="41"/>
      <x:c r="M17" s="52"/>
      <x:c r="N17" s="41"/>
      <x:c r="O17" s="41"/>
      <x:c r="P17" s="41"/>
      <x:c r="Q17" s="41"/>
      <x:c r="R17" s="41"/>
      <x:c r="S17" s="41"/>
    </x:row>
    <x:row r="18" ht="31" customHeight="1">
      <x:c r="A18" s="41"/>
      <x:c r="B18" s="48"/>
      <x:c r="C18" s="41"/>
      <x:c r="D18" s="42" t="str">
        <x:f>IF(C18="","",IFERROR(VLOOKUP(C18,'الطلبات'!$A$7:$D$206,4,FALSE),""))</x:f>
      </x:c>
      <x:c r="E18" s="41"/>
      <x:c r="F18" s="41"/>
      <x:c r="G18" s="52"/>
      <x:c r="H18" s="52"/>
      <x:c r="I18" s="52"/>
      <x:c r="J18" s="52"/>
      <x:c r="K18" s="52"/>
      <x:c r="L18" s="41"/>
      <x:c r="M18" s="52"/>
      <x:c r="N18" s="41"/>
      <x:c r="O18" s="41"/>
      <x:c r="P18" s="41"/>
      <x:c r="Q18" s="41"/>
      <x:c r="R18" s="41"/>
      <x:c r="S18" s="41"/>
    </x:row>
    <x:row r="19" ht="31" customHeight="1">
      <x:c r="A19" s="41"/>
      <x:c r="B19" s="48"/>
      <x:c r="C19" s="41"/>
      <x:c r="D19" s="42" t="str">
        <x:f>IF(C19="","",IFERROR(VLOOKUP(C19,'الطلبات'!$A$7:$D$206,4,FALSE),""))</x:f>
      </x:c>
      <x:c r="E19" s="41"/>
      <x:c r="F19" s="41"/>
      <x:c r="G19" s="52"/>
      <x:c r="H19" s="52"/>
      <x:c r="I19" s="52"/>
      <x:c r="J19" s="52"/>
      <x:c r="K19" s="52"/>
      <x:c r="L19" s="41"/>
      <x:c r="M19" s="52"/>
      <x:c r="N19" s="41"/>
      <x:c r="O19" s="41"/>
      <x:c r="P19" s="41"/>
      <x:c r="Q19" s="41"/>
      <x:c r="R19" s="41"/>
      <x:c r="S19" s="41"/>
    </x:row>
    <x:row r="20" ht="31" customHeight="1">
      <x:c r="A20" s="41"/>
      <x:c r="B20" s="48"/>
      <x:c r="C20" s="41"/>
      <x:c r="D20" s="42" t="str">
        <x:f>IF(C20="","",IFERROR(VLOOKUP(C20,'الطلبات'!$A$7:$D$206,4,FALSE),""))</x:f>
      </x:c>
      <x:c r="E20" s="41"/>
      <x:c r="F20" s="41"/>
      <x:c r="G20" s="52"/>
      <x:c r="H20" s="52"/>
      <x:c r="I20" s="52"/>
      <x:c r="J20" s="52"/>
      <x:c r="K20" s="52"/>
      <x:c r="L20" s="41"/>
      <x:c r="M20" s="52"/>
      <x:c r="N20" s="41"/>
      <x:c r="O20" s="41"/>
      <x:c r="P20" s="41"/>
      <x:c r="Q20" s="41"/>
      <x:c r="R20" s="41"/>
      <x:c r="S20" s="41"/>
    </x:row>
    <x:row r="21" ht="31" customHeight="1">
      <x:c r="A21" s="41"/>
      <x:c r="B21" s="48"/>
      <x:c r="C21" s="41"/>
      <x:c r="D21" s="42" t="str">
        <x:f>IF(C21="","",IFERROR(VLOOKUP(C21,'الطلبات'!$A$7:$D$206,4,FALSE),""))</x:f>
      </x:c>
      <x:c r="E21" s="41"/>
      <x:c r="F21" s="41"/>
      <x:c r="G21" s="52"/>
      <x:c r="H21" s="52"/>
      <x:c r="I21" s="52"/>
      <x:c r="J21" s="52"/>
      <x:c r="K21" s="52"/>
      <x:c r="L21" s="41"/>
      <x:c r="M21" s="52"/>
      <x:c r="N21" s="41"/>
      <x:c r="O21" s="41"/>
      <x:c r="P21" s="41"/>
      <x:c r="Q21" s="41"/>
      <x:c r="R21" s="41"/>
      <x:c r="S21" s="41"/>
    </x:row>
    <x:row r="22" ht="31" customHeight="1">
      <x:c r="A22" s="41"/>
      <x:c r="B22" s="48"/>
      <x:c r="C22" s="41"/>
      <x:c r="D22" s="42" t="str">
        <x:f>IF(C22="","",IFERROR(VLOOKUP(C22,'الطلبات'!$A$7:$D$206,4,FALSE),""))</x:f>
      </x:c>
      <x:c r="E22" s="41"/>
      <x:c r="F22" s="41"/>
      <x:c r="G22" s="52"/>
      <x:c r="H22" s="52"/>
      <x:c r="I22" s="52"/>
      <x:c r="J22" s="52"/>
      <x:c r="K22" s="52"/>
      <x:c r="L22" s="41"/>
      <x:c r="M22" s="52"/>
      <x:c r="N22" s="41"/>
      <x:c r="O22" s="41"/>
      <x:c r="P22" s="41"/>
      <x:c r="Q22" s="41"/>
      <x:c r="R22" s="41"/>
      <x:c r="S22" s="41"/>
    </x:row>
    <x:row r="23" ht="31" customHeight="1">
      <x:c r="A23" s="41"/>
      <x:c r="B23" s="48"/>
      <x:c r="C23" s="41"/>
      <x:c r="D23" s="42" t="str">
        <x:f>IF(C23="","",IFERROR(VLOOKUP(C23,'الطلبات'!$A$7:$D$206,4,FALSE),""))</x:f>
      </x:c>
      <x:c r="E23" s="41"/>
      <x:c r="F23" s="41"/>
      <x:c r="G23" s="52"/>
      <x:c r="H23" s="52"/>
      <x:c r="I23" s="52"/>
      <x:c r="J23" s="52"/>
      <x:c r="K23" s="52"/>
      <x:c r="L23" s="41"/>
      <x:c r="M23" s="52"/>
      <x:c r="N23" s="41"/>
      <x:c r="O23" s="41"/>
      <x:c r="P23" s="41"/>
      <x:c r="Q23" s="41"/>
      <x:c r="R23" s="41"/>
      <x:c r="S23" s="41"/>
    </x:row>
    <x:row r="24" ht="31" customHeight="1">
      <x:c r="A24" s="41"/>
      <x:c r="B24" s="48"/>
      <x:c r="C24" s="41"/>
      <x:c r="D24" s="42" t="str">
        <x:f>IF(C24="","",IFERROR(VLOOKUP(C24,'الطلبات'!$A$7:$D$206,4,FALSE),""))</x:f>
      </x:c>
      <x:c r="E24" s="41"/>
      <x:c r="F24" s="41"/>
      <x:c r="G24" s="52"/>
      <x:c r="H24" s="52"/>
      <x:c r="I24" s="52"/>
      <x:c r="J24" s="52"/>
      <x:c r="K24" s="52"/>
      <x:c r="L24" s="41"/>
      <x:c r="M24" s="52"/>
      <x:c r="N24" s="41"/>
      <x:c r="O24" s="41"/>
      <x:c r="P24" s="41"/>
      <x:c r="Q24" s="41"/>
      <x:c r="R24" s="41"/>
      <x:c r="S24" s="41"/>
    </x:row>
    <x:row r="25" ht="31" customHeight="1">
      <x:c r="A25" s="41"/>
      <x:c r="B25" s="48"/>
      <x:c r="C25" s="41"/>
      <x:c r="D25" s="42" t="str">
        <x:f>IF(C25="","",IFERROR(VLOOKUP(C25,'الطلبات'!$A$7:$D$206,4,FALSE),""))</x:f>
      </x:c>
      <x:c r="E25" s="41"/>
      <x:c r="F25" s="41"/>
      <x:c r="G25" s="52"/>
      <x:c r="H25" s="52"/>
      <x:c r="I25" s="52"/>
      <x:c r="J25" s="52"/>
      <x:c r="K25" s="52"/>
      <x:c r="L25" s="41"/>
      <x:c r="M25" s="52"/>
      <x:c r="N25" s="41"/>
      <x:c r="O25" s="41"/>
      <x:c r="P25" s="41"/>
      <x:c r="Q25" s="41"/>
      <x:c r="R25" s="41"/>
      <x:c r="S25" s="41"/>
    </x:row>
    <x:row r="26" ht="31" customHeight="1">
      <x:c r="A26" s="41"/>
      <x:c r="B26" s="48"/>
      <x:c r="C26" s="41"/>
      <x:c r="D26" s="42" t="str">
        <x:f>IF(C26="","",IFERROR(VLOOKUP(C26,'الطلبات'!$A$7:$D$206,4,FALSE),""))</x:f>
      </x:c>
      <x:c r="E26" s="41"/>
      <x:c r="F26" s="41"/>
      <x:c r="G26" s="52"/>
      <x:c r="H26" s="52"/>
      <x:c r="I26" s="52"/>
      <x:c r="J26" s="52"/>
      <x:c r="K26" s="52"/>
      <x:c r="L26" s="41"/>
      <x:c r="M26" s="52"/>
      <x:c r="N26" s="41"/>
      <x:c r="O26" s="41"/>
      <x:c r="P26" s="41"/>
      <x:c r="Q26" s="41"/>
      <x:c r="R26" s="41"/>
      <x:c r="S26" s="41"/>
    </x:row>
    <x:row r="27" ht="31" customHeight="1">
      <x:c r="A27" s="41"/>
      <x:c r="B27" s="48"/>
      <x:c r="C27" s="41"/>
      <x:c r="D27" s="42" t="str">
        <x:f>IF(C27="","",IFERROR(VLOOKUP(C27,'الطلبات'!$A$7:$D$206,4,FALSE),""))</x:f>
      </x:c>
      <x:c r="E27" s="41"/>
      <x:c r="F27" s="41"/>
      <x:c r="G27" s="52"/>
      <x:c r="H27" s="52"/>
      <x:c r="I27" s="52"/>
      <x:c r="J27" s="52"/>
      <x:c r="K27" s="52"/>
      <x:c r="L27" s="41"/>
      <x:c r="M27" s="52"/>
      <x:c r="N27" s="41"/>
      <x:c r="O27" s="41"/>
      <x:c r="P27" s="41"/>
      <x:c r="Q27" s="41"/>
      <x:c r="R27" s="41"/>
      <x:c r="S27" s="41"/>
    </x:row>
    <x:row r="28" ht="31" customHeight="1">
      <x:c r="A28" s="41"/>
      <x:c r="B28" s="48"/>
      <x:c r="C28" s="41"/>
      <x:c r="D28" s="42" t="str">
        <x:f>IF(C28="","",IFERROR(VLOOKUP(C28,'الطلبات'!$A$7:$D$206,4,FALSE),""))</x:f>
      </x:c>
      <x:c r="E28" s="41"/>
      <x:c r="F28" s="41"/>
      <x:c r="G28" s="52"/>
      <x:c r="H28" s="52"/>
      <x:c r="I28" s="52"/>
      <x:c r="J28" s="52"/>
      <x:c r="K28" s="52"/>
      <x:c r="L28" s="41"/>
      <x:c r="M28" s="52"/>
      <x:c r="N28" s="41"/>
      <x:c r="O28" s="41"/>
      <x:c r="P28" s="41"/>
      <x:c r="Q28" s="41"/>
      <x:c r="R28" s="41"/>
      <x:c r="S28" s="41"/>
    </x:row>
    <x:row r="29" ht="31" customHeight="1">
      <x:c r="A29" s="41"/>
      <x:c r="B29" s="48"/>
      <x:c r="C29" s="41"/>
      <x:c r="D29" s="42" t="str">
        <x:f>IF(C29="","",IFERROR(VLOOKUP(C29,'الطلبات'!$A$7:$D$206,4,FALSE),""))</x:f>
      </x:c>
      <x:c r="E29" s="41"/>
      <x:c r="F29" s="41"/>
      <x:c r="G29" s="52"/>
      <x:c r="H29" s="52"/>
      <x:c r="I29" s="52"/>
      <x:c r="J29" s="52"/>
      <x:c r="K29" s="52"/>
      <x:c r="L29" s="41"/>
      <x:c r="M29" s="52"/>
      <x:c r="N29" s="41"/>
      <x:c r="O29" s="41"/>
      <x:c r="P29" s="41"/>
      <x:c r="Q29" s="41"/>
      <x:c r="R29" s="41"/>
      <x:c r="S29" s="41"/>
    </x:row>
    <x:row r="30" ht="31" customHeight="1">
      <x:c r="A30" s="41"/>
      <x:c r="B30" s="48"/>
      <x:c r="C30" s="41"/>
      <x:c r="D30" s="42" t="str">
        <x:f>IF(C30="","",IFERROR(VLOOKUP(C30,'الطلبات'!$A$7:$D$206,4,FALSE),""))</x:f>
      </x:c>
      <x:c r="E30" s="41"/>
      <x:c r="F30" s="41"/>
      <x:c r="G30" s="52"/>
      <x:c r="H30" s="52"/>
      <x:c r="I30" s="52"/>
      <x:c r="J30" s="52"/>
      <x:c r="K30" s="52"/>
      <x:c r="L30" s="41"/>
      <x:c r="M30" s="52"/>
      <x:c r="N30" s="41"/>
      <x:c r="O30" s="41"/>
      <x:c r="P30" s="41"/>
      <x:c r="Q30" s="41"/>
      <x:c r="R30" s="41"/>
      <x:c r="S30" s="41"/>
    </x:row>
    <x:row r="31" ht="31" customHeight="1">
      <x:c r="A31" s="41"/>
      <x:c r="B31" s="48"/>
      <x:c r="C31" s="41"/>
      <x:c r="D31" s="42" t="str">
        <x:f>IF(C31="","",IFERROR(VLOOKUP(C31,'الطلبات'!$A$7:$D$206,4,FALSE),""))</x:f>
      </x:c>
      <x:c r="E31" s="41"/>
      <x:c r="F31" s="41"/>
      <x:c r="G31" s="52"/>
      <x:c r="H31" s="52"/>
      <x:c r="I31" s="52"/>
      <x:c r="J31" s="52"/>
      <x:c r="K31" s="52"/>
      <x:c r="L31" s="41"/>
      <x:c r="M31" s="52"/>
      <x:c r="N31" s="41"/>
      <x:c r="O31" s="41"/>
      <x:c r="P31" s="41"/>
      <x:c r="Q31" s="41"/>
      <x:c r="R31" s="41"/>
      <x:c r="S31" s="41"/>
    </x:row>
    <x:row r="32" ht="31" customHeight="1">
      <x:c r="A32" s="41"/>
      <x:c r="B32" s="48"/>
      <x:c r="C32" s="41"/>
      <x:c r="D32" s="42" t="str">
        <x:f>IF(C32="","",IFERROR(VLOOKUP(C32,'الطلبات'!$A$7:$D$206,4,FALSE),""))</x:f>
      </x:c>
      <x:c r="E32" s="41"/>
      <x:c r="F32" s="41"/>
      <x:c r="G32" s="52"/>
      <x:c r="H32" s="52"/>
      <x:c r="I32" s="52"/>
      <x:c r="J32" s="52"/>
      <x:c r="K32" s="52"/>
      <x:c r="L32" s="41"/>
      <x:c r="M32" s="52"/>
      <x:c r="N32" s="41"/>
      <x:c r="O32" s="41"/>
      <x:c r="P32" s="41"/>
      <x:c r="Q32" s="41"/>
      <x:c r="R32" s="41"/>
      <x:c r="S32" s="41"/>
    </x:row>
    <x:row r="33" ht="31" customHeight="1">
      <x:c r="A33" s="41"/>
      <x:c r="B33" s="48"/>
      <x:c r="C33" s="41"/>
      <x:c r="D33" s="42" t="str">
        <x:f>IF(C33="","",IFERROR(VLOOKUP(C33,'الطلبات'!$A$7:$D$206,4,FALSE),""))</x:f>
      </x:c>
      <x:c r="E33" s="41"/>
      <x:c r="F33" s="41"/>
      <x:c r="G33" s="52"/>
      <x:c r="H33" s="52"/>
      <x:c r="I33" s="52"/>
      <x:c r="J33" s="52"/>
      <x:c r="K33" s="52"/>
      <x:c r="L33" s="41"/>
      <x:c r="M33" s="52"/>
      <x:c r="N33" s="41"/>
      <x:c r="O33" s="41"/>
      <x:c r="P33" s="41"/>
      <x:c r="Q33" s="41"/>
      <x:c r="R33" s="41"/>
      <x:c r="S33" s="41"/>
    </x:row>
    <x:row r="34" ht="31" customHeight="1">
      <x:c r="A34" s="41"/>
      <x:c r="B34" s="48"/>
      <x:c r="C34" s="41"/>
      <x:c r="D34" s="42" t="str">
        <x:f>IF(C34="","",IFERROR(VLOOKUP(C34,'الطلبات'!$A$7:$D$206,4,FALSE),""))</x:f>
      </x:c>
      <x:c r="E34" s="41"/>
      <x:c r="F34" s="41"/>
      <x:c r="G34" s="52"/>
      <x:c r="H34" s="52"/>
      <x:c r="I34" s="52"/>
      <x:c r="J34" s="52"/>
      <x:c r="K34" s="52"/>
      <x:c r="L34" s="41"/>
      <x:c r="M34" s="52"/>
      <x:c r="N34" s="41"/>
      <x:c r="O34" s="41"/>
      <x:c r="P34" s="41"/>
      <x:c r="Q34" s="41"/>
      <x:c r="R34" s="41"/>
      <x:c r="S34" s="41"/>
    </x:row>
    <x:row r="35" ht="31" customHeight="1">
      <x:c r="A35" s="41"/>
      <x:c r="B35" s="48"/>
      <x:c r="C35" s="41"/>
      <x:c r="D35" s="42" t="str">
        <x:f>IF(C35="","",IFERROR(VLOOKUP(C35,'الطلبات'!$A$7:$D$206,4,FALSE),""))</x:f>
      </x:c>
      <x:c r="E35" s="41"/>
      <x:c r="F35" s="41"/>
      <x:c r="G35" s="52"/>
      <x:c r="H35" s="52"/>
      <x:c r="I35" s="52"/>
      <x:c r="J35" s="52"/>
      <x:c r="K35" s="52"/>
      <x:c r="L35" s="41"/>
      <x:c r="M35" s="52"/>
      <x:c r="N35" s="41"/>
      <x:c r="O35" s="41"/>
      <x:c r="P35" s="41"/>
      <x:c r="Q35" s="41"/>
      <x:c r="R35" s="41"/>
      <x:c r="S35" s="41"/>
    </x:row>
    <x:row r="36" ht="31" customHeight="1">
      <x:c r="A36" s="41"/>
      <x:c r="B36" s="48"/>
      <x:c r="C36" s="41"/>
      <x:c r="D36" s="42" t="str">
        <x:f>IF(C36="","",IFERROR(VLOOKUP(C36,'الطلبات'!$A$7:$D$206,4,FALSE),""))</x:f>
      </x:c>
      <x:c r="E36" s="41"/>
      <x:c r="F36" s="41"/>
      <x:c r="G36" s="52"/>
      <x:c r="H36" s="52"/>
      <x:c r="I36" s="52"/>
      <x:c r="J36" s="52"/>
      <x:c r="K36" s="52"/>
      <x:c r="L36" s="41"/>
      <x:c r="M36" s="52"/>
      <x:c r="N36" s="41"/>
      <x:c r="O36" s="41"/>
      <x:c r="P36" s="41"/>
      <x:c r="Q36" s="41"/>
      <x:c r="R36" s="41"/>
      <x:c r="S36" s="41"/>
    </x:row>
    <x:row r="37" ht="31" customHeight="1">
      <x:c r="A37" s="41"/>
      <x:c r="B37" s="48"/>
      <x:c r="C37" s="41"/>
      <x:c r="D37" s="42" t="str">
        <x:f>IF(C37="","",IFERROR(VLOOKUP(C37,'الطلبات'!$A$7:$D$206,4,FALSE),""))</x:f>
      </x:c>
      <x:c r="E37" s="41"/>
      <x:c r="F37" s="41"/>
      <x:c r="G37" s="52"/>
      <x:c r="H37" s="52"/>
      <x:c r="I37" s="52"/>
      <x:c r="J37" s="52"/>
      <x:c r="K37" s="52"/>
      <x:c r="L37" s="41"/>
      <x:c r="M37" s="52"/>
      <x:c r="N37" s="41"/>
      <x:c r="O37" s="41"/>
      <x:c r="P37" s="41"/>
      <x:c r="Q37" s="41"/>
      <x:c r="R37" s="41"/>
      <x:c r="S37" s="41"/>
    </x:row>
    <x:row r="38" ht="31" customHeight="1">
      <x:c r="A38" s="41"/>
      <x:c r="B38" s="48"/>
      <x:c r="C38" s="41"/>
      <x:c r="D38" s="42" t="str">
        <x:f>IF(C38="","",IFERROR(VLOOKUP(C38,'الطلبات'!$A$7:$D$206,4,FALSE),""))</x:f>
      </x:c>
      <x:c r="E38" s="41"/>
      <x:c r="F38" s="41"/>
      <x:c r="G38" s="52"/>
      <x:c r="H38" s="52"/>
      <x:c r="I38" s="52"/>
      <x:c r="J38" s="52"/>
      <x:c r="K38" s="52"/>
      <x:c r="L38" s="41"/>
      <x:c r="M38" s="52"/>
      <x:c r="N38" s="41"/>
      <x:c r="O38" s="41"/>
      <x:c r="P38" s="41"/>
      <x:c r="Q38" s="41"/>
      <x:c r="R38" s="41"/>
      <x:c r="S38" s="41"/>
    </x:row>
    <x:row r="39" ht="31" customHeight="1">
      <x:c r="A39" s="41"/>
      <x:c r="B39" s="48"/>
      <x:c r="C39" s="41"/>
      <x:c r="D39" s="42" t="str">
        <x:f>IF(C39="","",IFERROR(VLOOKUP(C39,'الطلبات'!$A$7:$D$206,4,FALSE),""))</x:f>
      </x:c>
      <x:c r="E39" s="41"/>
      <x:c r="F39" s="41"/>
      <x:c r="G39" s="52"/>
      <x:c r="H39" s="52"/>
      <x:c r="I39" s="52"/>
      <x:c r="J39" s="52"/>
      <x:c r="K39" s="52"/>
      <x:c r="L39" s="41"/>
      <x:c r="M39" s="52"/>
      <x:c r="N39" s="41"/>
      <x:c r="O39" s="41"/>
      <x:c r="P39" s="41"/>
      <x:c r="Q39" s="41"/>
      <x:c r="R39" s="41"/>
      <x:c r="S39" s="41"/>
    </x:row>
    <x:row r="40" ht="31" customHeight="1">
      <x:c r="A40" s="41"/>
      <x:c r="B40" s="48"/>
      <x:c r="C40" s="41"/>
      <x:c r="D40" s="42" t="str">
        <x:f>IF(C40="","",IFERROR(VLOOKUP(C40,'الطلبات'!$A$7:$D$206,4,FALSE),""))</x:f>
      </x:c>
      <x:c r="E40" s="41"/>
      <x:c r="F40" s="41"/>
      <x:c r="G40" s="52"/>
      <x:c r="H40" s="52"/>
      <x:c r="I40" s="52"/>
      <x:c r="J40" s="52"/>
      <x:c r="K40" s="52"/>
      <x:c r="L40" s="41"/>
      <x:c r="M40" s="52"/>
      <x:c r="N40" s="41"/>
      <x:c r="O40" s="41"/>
      <x:c r="P40" s="41"/>
      <x:c r="Q40" s="41"/>
      <x:c r="R40" s="41"/>
      <x:c r="S40" s="41"/>
    </x:row>
    <x:row r="41" ht="31" customHeight="1">
      <x:c r="A41" s="41"/>
      <x:c r="B41" s="48"/>
      <x:c r="C41" s="41"/>
      <x:c r="D41" s="42" t="str">
        <x:f>IF(C41="","",IFERROR(VLOOKUP(C41,'الطلبات'!$A$7:$D$206,4,FALSE),""))</x:f>
      </x:c>
      <x:c r="E41" s="41"/>
      <x:c r="F41" s="41"/>
      <x:c r="G41" s="52"/>
      <x:c r="H41" s="52"/>
      <x:c r="I41" s="52"/>
      <x:c r="J41" s="52"/>
      <x:c r="K41" s="52"/>
      <x:c r="L41" s="41"/>
      <x:c r="M41" s="52"/>
      <x:c r="N41" s="41"/>
      <x:c r="O41" s="41"/>
      <x:c r="P41" s="41"/>
      <x:c r="Q41" s="41"/>
      <x:c r="R41" s="41"/>
      <x:c r="S41" s="41"/>
    </x:row>
    <x:row r="42" ht="31" customHeight="1">
      <x:c r="A42" s="41"/>
      <x:c r="B42" s="48"/>
      <x:c r="C42" s="41"/>
      <x:c r="D42" s="42" t="str">
        <x:f>IF(C42="","",IFERROR(VLOOKUP(C42,'الطلبات'!$A$7:$D$206,4,FALSE),""))</x:f>
      </x:c>
      <x:c r="E42" s="41"/>
      <x:c r="F42" s="41"/>
      <x:c r="G42" s="52"/>
      <x:c r="H42" s="52"/>
      <x:c r="I42" s="52"/>
      <x:c r="J42" s="52"/>
      <x:c r="K42" s="52"/>
      <x:c r="L42" s="41"/>
      <x:c r="M42" s="52"/>
      <x:c r="N42" s="41"/>
      <x:c r="O42" s="41"/>
      <x:c r="P42" s="41"/>
      <x:c r="Q42" s="41"/>
      <x:c r="R42" s="41"/>
      <x:c r="S42" s="41"/>
    </x:row>
    <x:row r="43" ht="31" customHeight="1">
      <x:c r="A43" s="41"/>
      <x:c r="B43" s="48"/>
      <x:c r="C43" s="41"/>
      <x:c r="D43" s="42" t="str">
        <x:f>IF(C43="","",IFERROR(VLOOKUP(C43,'الطلبات'!$A$7:$D$206,4,FALSE),""))</x:f>
      </x:c>
      <x:c r="E43" s="41"/>
      <x:c r="F43" s="41"/>
      <x:c r="G43" s="52"/>
      <x:c r="H43" s="52"/>
      <x:c r="I43" s="52"/>
      <x:c r="J43" s="52"/>
      <x:c r="K43" s="52"/>
      <x:c r="L43" s="41"/>
      <x:c r="M43" s="52"/>
      <x:c r="N43" s="41"/>
      <x:c r="O43" s="41"/>
      <x:c r="P43" s="41"/>
      <x:c r="Q43" s="41"/>
      <x:c r="R43" s="41"/>
      <x:c r="S43" s="41"/>
    </x:row>
    <x:row r="44" ht="31" customHeight="1">
      <x:c r="A44" s="41"/>
      <x:c r="B44" s="48"/>
      <x:c r="C44" s="41"/>
      <x:c r="D44" s="42" t="str">
        <x:f>IF(C44="","",IFERROR(VLOOKUP(C44,'الطلبات'!$A$7:$D$206,4,FALSE),""))</x:f>
      </x:c>
      <x:c r="E44" s="41"/>
      <x:c r="F44" s="41"/>
      <x:c r="G44" s="52"/>
      <x:c r="H44" s="52"/>
      <x:c r="I44" s="52"/>
      <x:c r="J44" s="52"/>
      <x:c r="K44" s="52"/>
      <x:c r="L44" s="41"/>
      <x:c r="M44" s="52"/>
      <x:c r="N44" s="41"/>
      <x:c r="O44" s="41"/>
      <x:c r="P44" s="41"/>
      <x:c r="Q44" s="41"/>
      <x:c r="R44" s="41"/>
      <x:c r="S44" s="41"/>
    </x:row>
    <x:row r="45" ht="31" customHeight="1">
      <x:c r="A45" s="41"/>
      <x:c r="B45" s="48"/>
      <x:c r="C45" s="41"/>
      <x:c r="D45" s="42" t="str">
        <x:f>IF(C45="","",IFERROR(VLOOKUP(C45,'الطلبات'!$A$7:$D$206,4,FALSE),""))</x:f>
      </x:c>
      <x:c r="E45" s="41"/>
      <x:c r="F45" s="41"/>
      <x:c r="G45" s="52"/>
      <x:c r="H45" s="52"/>
      <x:c r="I45" s="52"/>
      <x:c r="J45" s="52"/>
      <x:c r="K45" s="52"/>
      <x:c r="L45" s="41"/>
      <x:c r="M45" s="52"/>
      <x:c r="N45" s="41"/>
      <x:c r="O45" s="41"/>
      <x:c r="P45" s="41"/>
      <x:c r="Q45" s="41"/>
      <x:c r="R45" s="41"/>
      <x:c r="S45" s="41"/>
    </x:row>
    <x:row r="46" ht="31" customHeight="1">
      <x:c r="A46" s="41"/>
      <x:c r="B46" s="48"/>
      <x:c r="C46" s="41"/>
      <x:c r="D46" s="42" t="str">
        <x:f>IF(C46="","",IFERROR(VLOOKUP(C46,'الطلبات'!$A$7:$D$206,4,FALSE),""))</x:f>
      </x:c>
      <x:c r="E46" s="41"/>
      <x:c r="F46" s="41"/>
      <x:c r="G46" s="52"/>
      <x:c r="H46" s="52"/>
      <x:c r="I46" s="52"/>
      <x:c r="J46" s="52"/>
      <x:c r="K46" s="52"/>
      <x:c r="L46" s="41"/>
      <x:c r="M46" s="52"/>
      <x:c r="N46" s="41"/>
      <x:c r="O46" s="41"/>
      <x:c r="P46" s="41"/>
      <x:c r="Q46" s="41"/>
      <x:c r="R46" s="41"/>
      <x:c r="S46" s="41"/>
    </x:row>
    <x:row r="47" ht="31" customHeight="1">
      <x:c r="A47" s="41"/>
      <x:c r="B47" s="48"/>
      <x:c r="C47" s="41"/>
      <x:c r="D47" s="42" t="str">
        <x:f>IF(C47="","",IFERROR(VLOOKUP(C47,'الطلبات'!$A$7:$D$206,4,FALSE),""))</x:f>
      </x:c>
      <x:c r="E47" s="41"/>
      <x:c r="F47" s="41"/>
      <x:c r="G47" s="52"/>
      <x:c r="H47" s="52"/>
      <x:c r="I47" s="52"/>
      <x:c r="J47" s="52"/>
      <x:c r="K47" s="52"/>
      <x:c r="L47" s="41"/>
      <x:c r="M47" s="52"/>
      <x:c r="N47" s="41"/>
      <x:c r="O47" s="41"/>
      <x:c r="P47" s="41"/>
      <x:c r="Q47" s="41"/>
      <x:c r="R47" s="41"/>
      <x:c r="S47" s="41"/>
    </x:row>
    <x:row r="48" ht="31" customHeight="1">
      <x:c r="A48" s="41"/>
      <x:c r="B48" s="48"/>
      <x:c r="C48" s="41"/>
      <x:c r="D48" s="42" t="str">
        <x:f>IF(C48="","",IFERROR(VLOOKUP(C48,'الطلبات'!$A$7:$D$206,4,FALSE),""))</x:f>
      </x:c>
      <x:c r="E48" s="41"/>
      <x:c r="F48" s="41"/>
      <x:c r="G48" s="52"/>
      <x:c r="H48" s="52"/>
      <x:c r="I48" s="52"/>
      <x:c r="J48" s="52"/>
      <x:c r="K48" s="52"/>
      <x:c r="L48" s="41"/>
      <x:c r="M48" s="52"/>
      <x:c r="N48" s="41"/>
      <x:c r="O48" s="41"/>
      <x:c r="P48" s="41"/>
      <x:c r="Q48" s="41"/>
      <x:c r="R48" s="41"/>
      <x:c r="S48" s="41"/>
    </x:row>
    <x:row r="49" ht="31" customHeight="1">
      <x:c r="A49" s="41"/>
      <x:c r="B49" s="48"/>
      <x:c r="C49" s="41"/>
      <x:c r="D49" s="42" t="str">
        <x:f>IF(C49="","",IFERROR(VLOOKUP(C49,'الطلبات'!$A$7:$D$206,4,FALSE),""))</x:f>
      </x:c>
      <x:c r="E49" s="41"/>
      <x:c r="F49" s="41"/>
      <x:c r="G49" s="52"/>
      <x:c r="H49" s="52"/>
      <x:c r="I49" s="52"/>
      <x:c r="J49" s="52"/>
      <x:c r="K49" s="52"/>
      <x:c r="L49" s="41"/>
      <x:c r="M49" s="52"/>
      <x:c r="N49" s="41"/>
      <x:c r="O49" s="41"/>
      <x:c r="P49" s="41"/>
      <x:c r="Q49" s="41"/>
      <x:c r="R49" s="41"/>
      <x:c r="S49" s="41"/>
    </x:row>
    <x:row r="50" ht="31" customHeight="1">
      <x:c r="A50" s="41"/>
      <x:c r="B50" s="48"/>
      <x:c r="C50" s="41"/>
      <x:c r="D50" s="42" t="str">
        <x:f>IF(C50="","",IFERROR(VLOOKUP(C50,'الطلبات'!$A$7:$D$206,4,FALSE),""))</x:f>
      </x:c>
      <x:c r="E50" s="41"/>
      <x:c r="F50" s="41"/>
      <x:c r="G50" s="52"/>
      <x:c r="H50" s="52"/>
      <x:c r="I50" s="52"/>
      <x:c r="J50" s="52"/>
      <x:c r="K50" s="52"/>
      <x:c r="L50" s="41"/>
      <x:c r="M50" s="52"/>
      <x:c r="N50" s="41"/>
      <x:c r="O50" s="41"/>
      <x:c r="P50" s="41"/>
      <x:c r="Q50" s="41"/>
      <x:c r="R50" s="41"/>
      <x:c r="S50" s="41"/>
    </x:row>
    <x:row r="51" ht="31" customHeight="1">
      <x:c r="A51" s="41"/>
      <x:c r="B51" s="48"/>
      <x:c r="C51" s="41"/>
      <x:c r="D51" s="42" t="str">
        <x:f>IF(C51="","",IFERROR(VLOOKUP(C51,'الطلبات'!$A$7:$D$206,4,FALSE),""))</x:f>
      </x:c>
      <x:c r="E51" s="41"/>
      <x:c r="F51" s="41"/>
      <x:c r="G51" s="52"/>
      <x:c r="H51" s="52"/>
      <x:c r="I51" s="52"/>
      <x:c r="J51" s="52"/>
      <x:c r="K51" s="52"/>
      <x:c r="L51" s="41"/>
      <x:c r="M51" s="52"/>
      <x:c r="N51" s="41"/>
      <x:c r="O51" s="41"/>
      <x:c r="P51" s="41"/>
      <x:c r="Q51" s="41"/>
      <x:c r="R51" s="41"/>
      <x:c r="S51" s="41"/>
    </x:row>
    <x:row r="52" ht="31" customHeight="1">
      <x:c r="A52" s="41"/>
      <x:c r="B52" s="48"/>
      <x:c r="C52" s="41"/>
      <x:c r="D52" s="42" t="str">
        <x:f>IF(C52="","",IFERROR(VLOOKUP(C52,'الطلبات'!$A$7:$D$206,4,FALSE),""))</x:f>
      </x:c>
      <x:c r="E52" s="41"/>
      <x:c r="F52" s="41"/>
      <x:c r="G52" s="52"/>
      <x:c r="H52" s="52"/>
      <x:c r="I52" s="52"/>
      <x:c r="J52" s="52"/>
      <x:c r="K52" s="52"/>
      <x:c r="L52" s="41"/>
      <x:c r="M52" s="52"/>
      <x:c r="N52" s="41"/>
      <x:c r="O52" s="41"/>
      <x:c r="P52" s="41"/>
      <x:c r="Q52" s="41"/>
      <x:c r="R52" s="41"/>
      <x:c r="S52" s="41"/>
    </x:row>
    <x:row r="53" ht="31" customHeight="1">
      <x:c r="A53" s="41"/>
      <x:c r="B53" s="48"/>
      <x:c r="C53" s="41"/>
      <x:c r="D53" s="42" t="str">
        <x:f>IF(C53="","",IFERROR(VLOOKUP(C53,'الطلبات'!$A$7:$D$206,4,FALSE),""))</x:f>
      </x:c>
      <x:c r="E53" s="41"/>
      <x:c r="F53" s="41"/>
      <x:c r="G53" s="52"/>
      <x:c r="H53" s="52"/>
      <x:c r="I53" s="52"/>
      <x:c r="J53" s="52"/>
      <x:c r="K53" s="52"/>
      <x:c r="L53" s="41"/>
      <x:c r="M53" s="52"/>
      <x:c r="N53" s="41"/>
      <x:c r="O53" s="41"/>
      <x:c r="P53" s="41"/>
      <x:c r="Q53" s="41"/>
      <x:c r="R53" s="41"/>
      <x:c r="S53" s="41"/>
    </x:row>
    <x:row r="54" ht="31" customHeight="1">
      <x:c r="A54" s="41"/>
      <x:c r="B54" s="48"/>
      <x:c r="C54" s="41"/>
      <x:c r="D54" s="42" t="str">
        <x:f>IF(C54="","",IFERROR(VLOOKUP(C54,'الطلبات'!$A$7:$D$206,4,FALSE),""))</x:f>
      </x:c>
      <x:c r="E54" s="41"/>
      <x:c r="F54" s="41"/>
      <x:c r="G54" s="52"/>
      <x:c r="H54" s="52"/>
      <x:c r="I54" s="52"/>
      <x:c r="J54" s="52"/>
      <x:c r="K54" s="52"/>
      <x:c r="L54" s="41"/>
      <x:c r="M54" s="52"/>
      <x:c r="N54" s="41"/>
      <x:c r="O54" s="41"/>
      <x:c r="P54" s="41"/>
      <x:c r="Q54" s="41"/>
      <x:c r="R54" s="41"/>
      <x:c r="S54" s="41"/>
    </x:row>
    <x:row r="55" ht="31" customHeight="1">
      <x:c r="A55" s="41"/>
      <x:c r="B55" s="48"/>
      <x:c r="C55" s="41"/>
      <x:c r="D55" s="42" t="str">
        <x:f>IF(C55="","",IFERROR(VLOOKUP(C55,'الطلبات'!$A$7:$D$206,4,FALSE),""))</x:f>
      </x:c>
      <x:c r="E55" s="41"/>
      <x:c r="F55" s="41"/>
      <x:c r="G55" s="52"/>
      <x:c r="H55" s="52"/>
      <x:c r="I55" s="52"/>
      <x:c r="J55" s="52"/>
      <x:c r="K55" s="52"/>
      <x:c r="L55" s="41"/>
      <x:c r="M55" s="52"/>
      <x:c r="N55" s="41"/>
      <x:c r="O55" s="41"/>
      <x:c r="P55" s="41"/>
      <x:c r="Q55" s="41"/>
      <x:c r="R55" s="41"/>
      <x:c r="S55" s="41"/>
    </x:row>
    <x:row r="56" ht="31" customHeight="1">
      <x:c r="A56" s="41"/>
      <x:c r="B56" s="48"/>
      <x:c r="C56" s="41"/>
      <x:c r="D56" s="42" t="str">
        <x:f>IF(C56="","",IFERROR(VLOOKUP(C56,'الطلبات'!$A$7:$D$206,4,FALSE),""))</x:f>
      </x:c>
      <x:c r="E56" s="41"/>
      <x:c r="F56" s="41"/>
      <x:c r="G56" s="52"/>
      <x:c r="H56" s="52"/>
      <x:c r="I56" s="52"/>
      <x:c r="J56" s="52"/>
      <x:c r="K56" s="52"/>
      <x:c r="L56" s="41"/>
      <x:c r="M56" s="52"/>
      <x:c r="N56" s="41"/>
      <x:c r="O56" s="41"/>
      <x:c r="P56" s="41"/>
      <x:c r="Q56" s="41"/>
      <x:c r="R56" s="41"/>
      <x:c r="S56" s="41"/>
    </x:row>
    <x:row r="57" ht="31" customHeight="1">
      <x:c r="A57" s="41"/>
      <x:c r="B57" s="48"/>
      <x:c r="C57" s="41"/>
      <x:c r="D57" s="42" t="str">
        <x:f>IF(C57="","",IFERROR(VLOOKUP(C57,'الطلبات'!$A$7:$D$206,4,FALSE),""))</x:f>
      </x:c>
      <x:c r="E57" s="41"/>
      <x:c r="F57" s="41"/>
      <x:c r="G57" s="52"/>
      <x:c r="H57" s="52"/>
      <x:c r="I57" s="52"/>
      <x:c r="J57" s="52"/>
      <x:c r="K57" s="52"/>
      <x:c r="L57" s="41"/>
      <x:c r="M57" s="52"/>
      <x:c r="N57" s="41"/>
      <x:c r="O57" s="41"/>
      <x:c r="P57" s="41"/>
      <x:c r="Q57" s="41"/>
      <x:c r="R57" s="41"/>
      <x:c r="S57" s="41"/>
    </x:row>
    <x:row r="58" ht="31" customHeight="1">
      <x:c r="A58" s="41"/>
      <x:c r="B58" s="48"/>
      <x:c r="C58" s="41"/>
      <x:c r="D58" s="42" t="str">
        <x:f>IF(C58="","",IFERROR(VLOOKUP(C58,'الطلبات'!$A$7:$D$206,4,FALSE),""))</x:f>
      </x:c>
      <x:c r="E58" s="41"/>
      <x:c r="F58" s="41"/>
      <x:c r="G58" s="52"/>
      <x:c r="H58" s="52"/>
      <x:c r="I58" s="52"/>
      <x:c r="J58" s="52"/>
      <x:c r="K58" s="52"/>
      <x:c r="L58" s="41"/>
      <x:c r="M58" s="52"/>
      <x:c r="N58" s="41"/>
      <x:c r="O58" s="41"/>
      <x:c r="P58" s="41"/>
      <x:c r="Q58" s="41"/>
      <x:c r="R58" s="41"/>
      <x:c r="S58" s="41"/>
    </x:row>
    <x:row r="59" ht="31" customHeight="1">
      <x:c r="A59" s="41"/>
      <x:c r="B59" s="48"/>
      <x:c r="C59" s="41"/>
      <x:c r="D59" s="42" t="str">
        <x:f>IF(C59="","",IFERROR(VLOOKUP(C59,'الطلبات'!$A$7:$D$206,4,FALSE),""))</x:f>
      </x:c>
      <x:c r="E59" s="41"/>
      <x:c r="F59" s="41"/>
      <x:c r="G59" s="52"/>
      <x:c r="H59" s="52"/>
      <x:c r="I59" s="52"/>
      <x:c r="J59" s="52"/>
      <x:c r="K59" s="52"/>
      <x:c r="L59" s="41"/>
      <x:c r="M59" s="52"/>
      <x:c r="N59" s="41"/>
      <x:c r="O59" s="41"/>
      <x:c r="P59" s="41"/>
      <x:c r="Q59" s="41"/>
      <x:c r="R59" s="41"/>
      <x:c r="S59" s="41"/>
    </x:row>
    <x:row r="60" ht="31" customHeight="1">
      <x:c r="A60" s="41"/>
      <x:c r="B60" s="48"/>
      <x:c r="C60" s="41"/>
      <x:c r="D60" s="42" t="str">
        <x:f>IF(C60="","",IFERROR(VLOOKUP(C60,'الطلبات'!$A$7:$D$206,4,FALSE),""))</x:f>
      </x:c>
      <x:c r="E60" s="41"/>
      <x:c r="F60" s="41"/>
      <x:c r="G60" s="52"/>
      <x:c r="H60" s="52"/>
      <x:c r="I60" s="52"/>
      <x:c r="J60" s="52"/>
      <x:c r="K60" s="52"/>
      <x:c r="L60" s="41"/>
      <x:c r="M60" s="52"/>
      <x:c r="N60" s="41"/>
      <x:c r="O60" s="41"/>
      <x:c r="P60" s="41"/>
      <x:c r="Q60" s="41"/>
      <x:c r="R60" s="41"/>
      <x:c r="S60" s="41"/>
    </x:row>
    <x:row r="61" ht="31" customHeight="1">
      <x:c r="A61" s="41"/>
      <x:c r="B61" s="48"/>
      <x:c r="C61" s="41"/>
      <x:c r="D61" s="42" t="str">
        <x:f>IF(C61="","",IFERROR(VLOOKUP(C61,'الطلبات'!$A$7:$D$206,4,FALSE),""))</x:f>
      </x:c>
      <x:c r="E61" s="41"/>
      <x:c r="F61" s="41"/>
      <x:c r="G61" s="52"/>
      <x:c r="H61" s="52"/>
      <x:c r="I61" s="52"/>
      <x:c r="J61" s="52"/>
      <x:c r="K61" s="52"/>
      <x:c r="L61" s="41"/>
      <x:c r="M61" s="52"/>
      <x:c r="N61" s="41"/>
      <x:c r="O61" s="41"/>
      <x:c r="P61" s="41"/>
      <x:c r="Q61" s="41"/>
      <x:c r="R61" s="41"/>
      <x:c r="S61" s="41"/>
    </x:row>
    <x:row r="62" ht="31" customHeight="1">
      <x:c r="A62" s="41"/>
      <x:c r="B62" s="48"/>
      <x:c r="C62" s="41"/>
      <x:c r="D62" s="42" t="str">
        <x:f>IF(C62="","",IFERROR(VLOOKUP(C62,'الطلبات'!$A$7:$D$206,4,FALSE),""))</x:f>
      </x:c>
      <x:c r="E62" s="41"/>
      <x:c r="F62" s="41"/>
      <x:c r="G62" s="52"/>
      <x:c r="H62" s="52"/>
      <x:c r="I62" s="52"/>
      <x:c r="J62" s="52"/>
      <x:c r="K62" s="52"/>
      <x:c r="L62" s="41"/>
      <x:c r="M62" s="52"/>
      <x:c r="N62" s="41"/>
      <x:c r="O62" s="41"/>
      <x:c r="P62" s="41"/>
      <x:c r="Q62" s="41"/>
      <x:c r="R62" s="41"/>
      <x:c r="S62" s="41"/>
    </x:row>
    <x:row r="63" ht="31" customHeight="1">
      <x:c r="A63" s="41"/>
      <x:c r="B63" s="48"/>
      <x:c r="C63" s="41"/>
      <x:c r="D63" s="42" t="str">
        <x:f>IF(C63="","",IFERROR(VLOOKUP(C63,'الطلبات'!$A$7:$D$206,4,FALSE),""))</x:f>
      </x:c>
      <x:c r="E63" s="41"/>
      <x:c r="F63" s="41"/>
      <x:c r="G63" s="52"/>
      <x:c r="H63" s="52"/>
      <x:c r="I63" s="52"/>
      <x:c r="J63" s="52"/>
      <x:c r="K63" s="52"/>
      <x:c r="L63" s="41"/>
      <x:c r="M63" s="52"/>
      <x:c r="N63" s="41"/>
      <x:c r="O63" s="41"/>
      <x:c r="P63" s="41"/>
      <x:c r="Q63" s="41"/>
      <x:c r="R63" s="41"/>
      <x:c r="S63" s="41"/>
    </x:row>
    <x:row r="64" ht="31" customHeight="1">
      <x:c r="A64" s="41"/>
      <x:c r="B64" s="48"/>
      <x:c r="C64" s="41"/>
      <x:c r="D64" s="42" t="str">
        <x:f>IF(C64="","",IFERROR(VLOOKUP(C64,'الطلبات'!$A$7:$D$206,4,FALSE),""))</x:f>
      </x:c>
      <x:c r="E64" s="41"/>
      <x:c r="F64" s="41"/>
      <x:c r="G64" s="52"/>
      <x:c r="H64" s="52"/>
      <x:c r="I64" s="52"/>
      <x:c r="J64" s="52"/>
      <x:c r="K64" s="52"/>
      <x:c r="L64" s="41"/>
      <x:c r="M64" s="52"/>
      <x:c r="N64" s="41"/>
      <x:c r="O64" s="41"/>
      <x:c r="P64" s="41"/>
      <x:c r="Q64" s="41"/>
      <x:c r="R64" s="41"/>
      <x:c r="S64" s="41"/>
    </x:row>
    <x:row r="65" ht="31" customHeight="1">
      <x:c r="A65" s="41"/>
      <x:c r="B65" s="48"/>
      <x:c r="C65" s="41"/>
      <x:c r="D65" s="42" t="str">
        <x:f>IF(C65="","",IFERROR(VLOOKUP(C65,'الطلبات'!$A$7:$D$206,4,FALSE),""))</x:f>
      </x:c>
      <x:c r="E65" s="41"/>
      <x:c r="F65" s="41"/>
      <x:c r="G65" s="52"/>
      <x:c r="H65" s="52"/>
      <x:c r="I65" s="52"/>
      <x:c r="J65" s="52"/>
      <x:c r="K65" s="52"/>
      <x:c r="L65" s="41"/>
      <x:c r="M65" s="52"/>
      <x:c r="N65" s="41"/>
      <x:c r="O65" s="41"/>
      <x:c r="P65" s="41"/>
      <x:c r="Q65" s="41"/>
      <x:c r="R65" s="41"/>
      <x:c r="S65" s="41"/>
    </x:row>
    <x:row r="66" ht="31" customHeight="1">
      <x:c r="A66" s="41"/>
      <x:c r="B66" s="48"/>
      <x:c r="C66" s="41"/>
      <x:c r="D66" s="42" t="str">
        <x:f>IF(C66="","",IFERROR(VLOOKUP(C66,'الطلبات'!$A$7:$D$206,4,FALSE),""))</x:f>
      </x:c>
      <x:c r="E66" s="41"/>
      <x:c r="F66" s="41"/>
      <x:c r="G66" s="52"/>
      <x:c r="H66" s="52"/>
      <x:c r="I66" s="52"/>
      <x:c r="J66" s="52"/>
      <x:c r="K66" s="52"/>
      <x:c r="L66" s="41"/>
      <x:c r="M66" s="52"/>
      <x:c r="N66" s="41"/>
      <x:c r="O66" s="41"/>
      <x:c r="P66" s="41"/>
      <x:c r="Q66" s="41"/>
      <x:c r="R66" s="41"/>
      <x:c r="S66" s="41"/>
    </x:row>
    <x:row r="67" ht="31" customHeight="1">
      <x:c r="A67" s="41"/>
      <x:c r="B67" s="48"/>
      <x:c r="C67" s="41"/>
      <x:c r="D67" s="42" t="str">
        <x:f>IF(C67="","",IFERROR(VLOOKUP(C67,'الطلبات'!$A$7:$D$206,4,FALSE),""))</x:f>
      </x:c>
      <x:c r="E67" s="41"/>
      <x:c r="F67" s="41"/>
      <x:c r="G67" s="52"/>
      <x:c r="H67" s="52"/>
      <x:c r="I67" s="52"/>
      <x:c r="J67" s="52"/>
      <x:c r="K67" s="52"/>
      <x:c r="L67" s="41"/>
      <x:c r="M67" s="52"/>
      <x:c r="N67" s="41"/>
      <x:c r="O67" s="41"/>
      <x:c r="P67" s="41"/>
      <x:c r="Q67" s="41"/>
      <x:c r="R67" s="41"/>
      <x:c r="S67" s="41"/>
    </x:row>
    <x:row r="68" ht="31" customHeight="1">
      <x:c r="A68" s="41"/>
      <x:c r="B68" s="48"/>
      <x:c r="C68" s="41"/>
      <x:c r="D68" s="42" t="str">
        <x:f>IF(C68="","",IFERROR(VLOOKUP(C68,'الطلبات'!$A$7:$D$206,4,FALSE),""))</x:f>
      </x:c>
      <x:c r="E68" s="41"/>
      <x:c r="F68" s="41"/>
      <x:c r="G68" s="52"/>
      <x:c r="H68" s="52"/>
      <x:c r="I68" s="52"/>
      <x:c r="J68" s="52"/>
      <x:c r="K68" s="52"/>
      <x:c r="L68" s="41"/>
      <x:c r="M68" s="52"/>
      <x:c r="N68" s="41"/>
      <x:c r="O68" s="41"/>
      <x:c r="P68" s="41"/>
      <x:c r="Q68" s="41"/>
      <x:c r="R68" s="41"/>
      <x:c r="S68" s="41"/>
    </x:row>
    <x:row r="69" ht="31" customHeight="1">
      <x:c r="A69" s="41"/>
      <x:c r="B69" s="48"/>
      <x:c r="C69" s="41"/>
      <x:c r="D69" s="42" t="str">
        <x:f>IF(C69="","",IFERROR(VLOOKUP(C69,'الطلبات'!$A$7:$D$206,4,FALSE),""))</x:f>
      </x:c>
      <x:c r="E69" s="41"/>
      <x:c r="F69" s="41"/>
      <x:c r="G69" s="52"/>
      <x:c r="H69" s="52"/>
      <x:c r="I69" s="52"/>
      <x:c r="J69" s="52"/>
      <x:c r="K69" s="52"/>
      <x:c r="L69" s="41"/>
      <x:c r="M69" s="52"/>
      <x:c r="N69" s="41"/>
      <x:c r="O69" s="41"/>
      <x:c r="P69" s="41"/>
      <x:c r="Q69" s="41"/>
      <x:c r="R69" s="41"/>
      <x:c r="S69" s="41"/>
    </x:row>
    <x:row r="70" ht="31" customHeight="1">
      <x:c r="A70" s="41"/>
      <x:c r="B70" s="48"/>
      <x:c r="C70" s="41"/>
      <x:c r="D70" s="42" t="str">
        <x:f>IF(C70="","",IFERROR(VLOOKUP(C70,'الطلبات'!$A$7:$D$206,4,FALSE),""))</x:f>
      </x:c>
      <x:c r="E70" s="41"/>
      <x:c r="F70" s="41"/>
      <x:c r="G70" s="52"/>
      <x:c r="H70" s="52"/>
      <x:c r="I70" s="52"/>
      <x:c r="J70" s="52"/>
      <x:c r="K70" s="52"/>
      <x:c r="L70" s="41"/>
      <x:c r="M70" s="52"/>
      <x:c r="N70" s="41"/>
      <x:c r="O70" s="41"/>
      <x:c r="P70" s="41"/>
      <x:c r="Q70" s="41"/>
      <x:c r="R70" s="41"/>
      <x:c r="S70" s="41"/>
    </x:row>
    <x:row r="71" ht="31" customHeight="1">
      <x:c r="A71" s="41"/>
      <x:c r="B71" s="48"/>
      <x:c r="C71" s="41"/>
      <x:c r="D71" s="42" t="str">
        <x:f>IF(C71="","",IFERROR(VLOOKUP(C71,'الطلبات'!$A$7:$D$206,4,FALSE),""))</x:f>
      </x:c>
      <x:c r="E71" s="41"/>
      <x:c r="F71" s="41"/>
      <x:c r="G71" s="52"/>
      <x:c r="H71" s="52"/>
      <x:c r="I71" s="52"/>
      <x:c r="J71" s="52"/>
      <x:c r="K71" s="52"/>
      <x:c r="L71" s="41"/>
      <x:c r="M71" s="52"/>
      <x:c r="N71" s="41"/>
      <x:c r="O71" s="41"/>
      <x:c r="P71" s="41"/>
      <x:c r="Q71" s="41"/>
      <x:c r="R71" s="41"/>
      <x:c r="S71" s="41"/>
    </x:row>
    <x:row r="72" ht="31" customHeight="1">
      <x:c r="A72" s="41"/>
      <x:c r="B72" s="48"/>
      <x:c r="C72" s="41"/>
      <x:c r="D72" s="42" t="str">
        <x:f>IF(C72="","",IFERROR(VLOOKUP(C72,'الطلبات'!$A$7:$D$206,4,FALSE),""))</x:f>
      </x:c>
      <x:c r="E72" s="41"/>
      <x:c r="F72" s="41"/>
      <x:c r="G72" s="52"/>
      <x:c r="H72" s="52"/>
      <x:c r="I72" s="52"/>
      <x:c r="J72" s="52"/>
      <x:c r="K72" s="52"/>
      <x:c r="L72" s="41"/>
      <x:c r="M72" s="52"/>
      <x:c r="N72" s="41"/>
      <x:c r="O72" s="41"/>
      <x:c r="P72" s="41"/>
      <x:c r="Q72" s="41"/>
      <x:c r="R72" s="41"/>
      <x:c r="S72" s="41"/>
    </x:row>
    <x:row r="73" ht="31" customHeight="1">
      <x:c r="A73" s="41"/>
      <x:c r="B73" s="48"/>
      <x:c r="C73" s="41"/>
      <x:c r="D73" s="42" t="str">
        <x:f>IF(C73="","",IFERROR(VLOOKUP(C73,'الطلبات'!$A$7:$D$206,4,FALSE),""))</x:f>
      </x:c>
      <x:c r="E73" s="41"/>
      <x:c r="F73" s="41"/>
      <x:c r="G73" s="52"/>
      <x:c r="H73" s="52"/>
      <x:c r="I73" s="52"/>
      <x:c r="J73" s="52"/>
      <x:c r="K73" s="52"/>
      <x:c r="L73" s="41"/>
      <x:c r="M73" s="52"/>
      <x:c r="N73" s="41"/>
      <x:c r="O73" s="41"/>
      <x:c r="P73" s="41"/>
      <x:c r="Q73" s="41"/>
      <x:c r="R73" s="41"/>
      <x:c r="S73" s="41"/>
    </x:row>
    <x:row r="74" ht="31" customHeight="1">
      <x:c r="A74" s="41"/>
      <x:c r="B74" s="48"/>
      <x:c r="C74" s="41"/>
      <x:c r="D74" s="42" t="str">
        <x:f>IF(C74="","",IFERROR(VLOOKUP(C74,'الطلبات'!$A$7:$D$206,4,FALSE),""))</x:f>
      </x:c>
      <x:c r="E74" s="41"/>
      <x:c r="F74" s="41"/>
      <x:c r="G74" s="52"/>
      <x:c r="H74" s="52"/>
      <x:c r="I74" s="52"/>
      <x:c r="J74" s="52"/>
      <x:c r="K74" s="52"/>
      <x:c r="L74" s="41"/>
      <x:c r="M74" s="52"/>
      <x:c r="N74" s="41"/>
      <x:c r="O74" s="41"/>
      <x:c r="P74" s="41"/>
      <x:c r="Q74" s="41"/>
      <x:c r="R74" s="41"/>
      <x:c r="S74" s="41"/>
    </x:row>
    <x:row r="75" ht="31" customHeight="1">
      <x:c r="A75" s="41"/>
      <x:c r="B75" s="48"/>
      <x:c r="C75" s="41"/>
      <x:c r="D75" s="42" t="str">
        <x:f>IF(C75="","",IFERROR(VLOOKUP(C75,'الطلبات'!$A$7:$D$206,4,FALSE),""))</x:f>
      </x:c>
      <x:c r="E75" s="41"/>
      <x:c r="F75" s="41"/>
      <x:c r="G75" s="52"/>
      <x:c r="H75" s="52"/>
      <x:c r="I75" s="52"/>
      <x:c r="J75" s="52"/>
      <x:c r="K75" s="52"/>
      <x:c r="L75" s="41"/>
      <x:c r="M75" s="52"/>
      <x:c r="N75" s="41"/>
      <x:c r="O75" s="41"/>
      <x:c r="P75" s="41"/>
      <x:c r="Q75" s="41"/>
      <x:c r="R75" s="41"/>
      <x:c r="S75" s="41"/>
    </x:row>
    <x:row r="76" ht="31" customHeight="1">
      <x:c r="A76" s="41"/>
      <x:c r="B76" s="48"/>
      <x:c r="C76" s="41"/>
      <x:c r="D76" s="42" t="str">
        <x:f>IF(C76="","",IFERROR(VLOOKUP(C76,'الطلبات'!$A$7:$D$206,4,FALSE),""))</x:f>
      </x:c>
      <x:c r="E76" s="41"/>
      <x:c r="F76" s="41"/>
      <x:c r="G76" s="52"/>
      <x:c r="H76" s="52"/>
      <x:c r="I76" s="52"/>
      <x:c r="J76" s="52"/>
      <x:c r="K76" s="52"/>
      <x:c r="L76" s="41"/>
      <x:c r="M76" s="52"/>
      <x:c r="N76" s="41"/>
      <x:c r="O76" s="41"/>
      <x:c r="P76" s="41"/>
      <x:c r="Q76" s="41"/>
      <x:c r="R76" s="41"/>
      <x:c r="S76" s="41"/>
    </x:row>
    <x:row r="77" ht="31" customHeight="1">
      <x:c r="A77" s="41"/>
      <x:c r="B77" s="48"/>
      <x:c r="C77" s="41"/>
      <x:c r="D77" s="42" t="str">
        <x:f>IF(C77="","",IFERROR(VLOOKUP(C77,'الطلبات'!$A$7:$D$206,4,FALSE),""))</x:f>
      </x:c>
      <x:c r="E77" s="41"/>
      <x:c r="F77" s="41"/>
      <x:c r="G77" s="52"/>
      <x:c r="H77" s="52"/>
      <x:c r="I77" s="52"/>
      <x:c r="J77" s="52"/>
      <x:c r="K77" s="52"/>
      <x:c r="L77" s="41"/>
      <x:c r="M77" s="52"/>
      <x:c r="N77" s="41"/>
      <x:c r="O77" s="41"/>
      <x:c r="P77" s="41"/>
      <x:c r="Q77" s="41"/>
      <x:c r="R77" s="41"/>
      <x:c r="S77" s="41"/>
    </x:row>
    <x:row r="78" ht="31" customHeight="1">
      <x:c r="A78" s="41"/>
      <x:c r="B78" s="48"/>
      <x:c r="C78" s="41"/>
      <x:c r="D78" s="42" t="str">
        <x:f>IF(C78="","",IFERROR(VLOOKUP(C78,'الطلبات'!$A$7:$D$206,4,FALSE),""))</x:f>
      </x:c>
      <x:c r="E78" s="41"/>
      <x:c r="F78" s="41"/>
      <x:c r="G78" s="52"/>
      <x:c r="H78" s="52"/>
      <x:c r="I78" s="52"/>
      <x:c r="J78" s="52"/>
      <x:c r="K78" s="52"/>
      <x:c r="L78" s="41"/>
      <x:c r="M78" s="52"/>
      <x:c r="N78" s="41"/>
      <x:c r="O78" s="41"/>
      <x:c r="P78" s="41"/>
      <x:c r="Q78" s="41"/>
      <x:c r="R78" s="41"/>
      <x:c r="S78" s="41"/>
    </x:row>
    <x:row r="79" ht="31" customHeight="1">
      <x:c r="A79" s="41"/>
      <x:c r="B79" s="48"/>
      <x:c r="C79" s="41"/>
      <x:c r="D79" s="42" t="str">
        <x:f>IF(C79="","",IFERROR(VLOOKUP(C79,'الطلبات'!$A$7:$D$206,4,FALSE),""))</x:f>
      </x:c>
      <x:c r="E79" s="41"/>
      <x:c r="F79" s="41"/>
      <x:c r="G79" s="52"/>
      <x:c r="H79" s="52"/>
      <x:c r="I79" s="52"/>
      <x:c r="J79" s="52"/>
      <x:c r="K79" s="52"/>
      <x:c r="L79" s="41"/>
      <x:c r="M79" s="52"/>
      <x:c r="N79" s="41"/>
      <x:c r="O79" s="41"/>
      <x:c r="P79" s="41"/>
      <x:c r="Q79" s="41"/>
      <x:c r="R79" s="41"/>
      <x:c r="S79" s="41"/>
    </x:row>
    <x:row r="80" ht="31" customHeight="1">
      <x:c r="A80" s="41"/>
      <x:c r="B80" s="48"/>
      <x:c r="C80" s="41"/>
      <x:c r="D80" s="42" t="str">
        <x:f>IF(C80="","",IFERROR(VLOOKUP(C80,'الطلبات'!$A$7:$D$206,4,FALSE),""))</x:f>
      </x:c>
      <x:c r="E80" s="41"/>
      <x:c r="F80" s="41"/>
      <x:c r="G80" s="52"/>
      <x:c r="H80" s="52"/>
      <x:c r="I80" s="52"/>
      <x:c r="J80" s="52"/>
      <x:c r="K80" s="52"/>
      <x:c r="L80" s="41"/>
      <x:c r="M80" s="52"/>
      <x:c r="N80" s="41"/>
      <x:c r="O80" s="41"/>
      <x:c r="P80" s="41"/>
      <x:c r="Q80" s="41"/>
      <x:c r="R80" s="41"/>
      <x:c r="S80" s="41"/>
    </x:row>
    <x:row r="81" ht="31" customHeight="1">
      <x:c r="A81" s="41"/>
      <x:c r="B81" s="48"/>
      <x:c r="C81" s="41"/>
      <x:c r="D81" s="42" t="str">
        <x:f>IF(C81="","",IFERROR(VLOOKUP(C81,'الطلبات'!$A$7:$D$206,4,FALSE),""))</x:f>
      </x:c>
      <x:c r="E81" s="41"/>
      <x:c r="F81" s="41"/>
      <x:c r="G81" s="52"/>
      <x:c r="H81" s="52"/>
      <x:c r="I81" s="52"/>
      <x:c r="J81" s="52"/>
      <x:c r="K81" s="52"/>
      <x:c r="L81" s="41"/>
      <x:c r="M81" s="52"/>
      <x:c r="N81" s="41"/>
      <x:c r="O81" s="41"/>
      <x:c r="P81" s="41"/>
      <x:c r="Q81" s="41"/>
      <x:c r="R81" s="41"/>
      <x:c r="S81" s="41"/>
    </x:row>
    <x:row r="82" ht="31" customHeight="1">
      <x:c r="A82" s="41"/>
      <x:c r="B82" s="48"/>
      <x:c r="C82" s="41"/>
      <x:c r="D82" s="42" t="str">
        <x:f>IF(C82="","",IFERROR(VLOOKUP(C82,'الطلبات'!$A$7:$D$206,4,FALSE),""))</x:f>
      </x:c>
      <x:c r="E82" s="41"/>
      <x:c r="F82" s="41"/>
      <x:c r="G82" s="52"/>
      <x:c r="H82" s="52"/>
      <x:c r="I82" s="52"/>
      <x:c r="J82" s="52"/>
      <x:c r="K82" s="52"/>
      <x:c r="L82" s="41"/>
      <x:c r="M82" s="52"/>
      <x:c r="N82" s="41"/>
      <x:c r="O82" s="41"/>
      <x:c r="P82" s="41"/>
      <x:c r="Q82" s="41"/>
      <x:c r="R82" s="41"/>
      <x:c r="S82" s="41"/>
    </x:row>
    <x:row r="83" ht="31" customHeight="1">
      <x:c r="A83" s="41"/>
      <x:c r="B83" s="48"/>
      <x:c r="C83" s="41"/>
      <x:c r="D83" s="42" t="str">
        <x:f>IF(C83="","",IFERROR(VLOOKUP(C83,'الطلبات'!$A$7:$D$206,4,FALSE),""))</x:f>
      </x:c>
      <x:c r="E83" s="41"/>
      <x:c r="F83" s="41"/>
      <x:c r="G83" s="52"/>
      <x:c r="H83" s="52"/>
      <x:c r="I83" s="52"/>
      <x:c r="J83" s="52"/>
      <x:c r="K83" s="52"/>
      <x:c r="L83" s="41"/>
      <x:c r="M83" s="52"/>
      <x:c r="N83" s="41"/>
      <x:c r="O83" s="41"/>
      <x:c r="P83" s="41"/>
      <x:c r="Q83" s="41"/>
      <x:c r="R83" s="41"/>
      <x:c r="S83" s="41"/>
    </x:row>
    <x:row r="84" ht="31" customHeight="1">
      <x:c r="A84" s="41"/>
      <x:c r="B84" s="48"/>
      <x:c r="C84" s="41"/>
      <x:c r="D84" s="42" t="str">
        <x:f>IF(C84="","",IFERROR(VLOOKUP(C84,'الطلبات'!$A$7:$D$206,4,FALSE),""))</x:f>
      </x:c>
      <x:c r="E84" s="41"/>
      <x:c r="F84" s="41"/>
      <x:c r="G84" s="52"/>
      <x:c r="H84" s="52"/>
      <x:c r="I84" s="52"/>
      <x:c r="J84" s="52"/>
      <x:c r="K84" s="52"/>
      <x:c r="L84" s="41"/>
      <x:c r="M84" s="52"/>
      <x:c r="N84" s="41"/>
      <x:c r="O84" s="41"/>
      <x:c r="P84" s="41"/>
      <x:c r="Q84" s="41"/>
      <x:c r="R84" s="41"/>
      <x:c r="S84" s="41"/>
    </x:row>
    <x:row r="85" ht="31" customHeight="1">
      <x:c r="A85" s="41"/>
      <x:c r="B85" s="48"/>
      <x:c r="C85" s="41"/>
      <x:c r="D85" s="42" t="str">
        <x:f>IF(C85="","",IFERROR(VLOOKUP(C85,'الطلبات'!$A$7:$D$206,4,FALSE),""))</x:f>
      </x:c>
      <x:c r="E85" s="41"/>
      <x:c r="F85" s="41"/>
      <x:c r="G85" s="52"/>
      <x:c r="H85" s="52"/>
      <x:c r="I85" s="52"/>
      <x:c r="J85" s="52"/>
      <x:c r="K85" s="52"/>
      <x:c r="L85" s="41"/>
      <x:c r="M85" s="52"/>
      <x:c r="N85" s="41"/>
      <x:c r="O85" s="41"/>
      <x:c r="P85" s="41"/>
      <x:c r="Q85" s="41"/>
      <x:c r="R85" s="41"/>
      <x:c r="S85" s="41"/>
    </x:row>
    <x:row r="86" ht="31" customHeight="1">
      <x:c r="A86" s="41"/>
      <x:c r="B86" s="48"/>
      <x:c r="C86" s="41"/>
      <x:c r="D86" s="42" t="str">
        <x:f>IF(C86="","",IFERROR(VLOOKUP(C86,'الطلبات'!$A$7:$D$206,4,FALSE),""))</x:f>
      </x:c>
      <x:c r="E86" s="41"/>
      <x:c r="F86" s="41"/>
      <x:c r="G86" s="52"/>
      <x:c r="H86" s="52"/>
      <x:c r="I86" s="52"/>
      <x:c r="J86" s="52"/>
      <x:c r="K86" s="52"/>
      <x:c r="L86" s="41"/>
      <x:c r="M86" s="52"/>
      <x:c r="N86" s="41"/>
      <x:c r="O86" s="41"/>
      <x:c r="P86" s="41"/>
      <x:c r="Q86" s="41"/>
      <x:c r="R86" s="41"/>
      <x:c r="S86" s="41"/>
    </x:row>
    <x:row r="87" ht="31" customHeight="1">
      <x:c r="A87" s="41"/>
      <x:c r="B87" s="48"/>
      <x:c r="C87" s="41"/>
      <x:c r="D87" s="42" t="str">
        <x:f>IF(C87="","",IFERROR(VLOOKUP(C87,'الطلبات'!$A$7:$D$206,4,FALSE),""))</x:f>
      </x:c>
      <x:c r="E87" s="41"/>
      <x:c r="F87" s="41"/>
      <x:c r="G87" s="52"/>
      <x:c r="H87" s="52"/>
      <x:c r="I87" s="52"/>
      <x:c r="J87" s="52"/>
      <x:c r="K87" s="52"/>
      <x:c r="L87" s="41"/>
      <x:c r="M87" s="52"/>
      <x:c r="N87" s="41"/>
      <x:c r="O87" s="41"/>
      <x:c r="P87" s="41"/>
      <x:c r="Q87" s="41"/>
      <x:c r="R87" s="41"/>
      <x:c r="S87" s="41"/>
    </x:row>
    <x:row r="88" ht="31" customHeight="1">
      <x:c r="A88" s="41"/>
      <x:c r="B88" s="48"/>
      <x:c r="C88" s="41"/>
      <x:c r="D88" s="42" t="str">
        <x:f>IF(C88="","",IFERROR(VLOOKUP(C88,'الطلبات'!$A$7:$D$206,4,FALSE),""))</x:f>
      </x:c>
      <x:c r="E88" s="41"/>
      <x:c r="F88" s="41"/>
      <x:c r="G88" s="52"/>
      <x:c r="H88" s="52"/>
      <x:c r="I88" s="52"/>
      <x:c r="J88" s="52"/>
      <x:c r="K88" s="52"/>
      <x:c r="L88" s="41"/>
      <x:c r="M88" s="52"/>
      <x:c r="N88" s="41"/>
      <x:c r="O88" s="41"/>
      <x:c r="P88" s="41"/>
      <x:c r="Q88" s="41"/>
      <x:c r="R88" s="41"/>
      <x:c r="S88" s="41"/>
    </x:row>
    <x:row r="89" ht="31" customHeight="1">
      <x:c r="A89" s="41"/>
      <x:c r="B89" s="48"/>
      <x:c r="C89" s="41"/>
      <x:c r="D89" s="42" t="str">
        <x:f>IF(C89="","",IFERROR(VLOOKUP(C89,'الطلبات'!$A$7:$D$206,4,FALSE),""))</x:f>
      </x:c>
      <x:c r="E89" s="41"/>
      <x:c r="F89" s="41"/>
      <x:c r="G89" s="52"/>
      <x:c r="H89" s="52"/>
      <x:c r="I89" s="52"/>
      <x:c r="J89" s="52"/>
      <x:c r="K89" s="52"/>
      <x:c r="L89" s="41"/>
      <x:c r="M89" s="52"/>
      <x:c r="N89" s="41"/>
      <x:c r="O89" s="41"/>
      <x:c r="P89" s="41"/>
      <x:c r="Q89" s="41"/>
      <x:c r="R89" s="41"/>
      <x:c r="S89" s="41"/>
    </x:row>
    <x:row r="90" ht="31" customHeight="1">
      <x:c r="A90" s="41"/>
      <x:c r="B90" s="48"/>
      <x:c r="C90" s="41"/>
      <x:c r="D90" s="42" t="str">
        <x:f>IF(C90="","",IFERROR(VLOOKUP(C90,'الطلبات'!$A$7:$D$206,4,FALSE),""))</x:f>
      </x:c>
      <x:c r="E90" s="41"/>
      <x:c r="F90" s="41"/>
      <x:c r="G90" s="52"/>
      <x:c r="H90" s="52"/>
      <x:c r="I90" s="52"/>
      <x:c r="J90" s="52"/>
      <x:c r="K90" s="52"/>
      <x:c r="L90" s="41"/>
      <x:c r="M90" s="52"/>
      <x:c r="N90" s="41"/>
      <x:c r="O90" s="41"/>
      <x:c r="P90" s="41"/>
      <x:c r="Q90" s="41"/>
      <x:c r="R90" s="41"/>
      <x:c r="S90" s="41"/>
    </x:row>
    <x:row r="91" ht="31" customHeight="1">
      <x:c r="A91" s="41"/>
      <x:c r="B91" s="48"/>
      <x:c r="C91" s="41"/>
      <x:c r="D91" s="42" t="str">
        <x:f>IF(C91="","",IFERROR(VLOOKUP(C91,'الطلبات'!$A$7:$D$206,4,FALSE),""))</x:f>
      </x:c>
      <x:c r="E91" s="41"/>
      <x:c r="F91" s="41"/>
      <x:c r="G91" s="52"/>
      <x:c r="H91" s="52"/>
      <x:c r="I91" s="52"/>
      <x:c r="J91" s="52"/>
      <x:c r="K91" s="52"/>
      <x:c r="L91" s="41"/>
      <x:c r="M91" s="52"/>
      <x:c r="N91" s="41"/>
      <x:c r="O91" s="41"/>
      <x:c r="P91" s="41"/>
      <x:c r="Q91" s="41"/>
      <x:c r="R91" s="41"/>
      <x:c r="S91" s="41"/>
    </x:row>
    <x:row r="92" ht="31" customHeight="1">
      <x:c r="A92" s="41"/>
      <x:c r="B92" s="48"/>
      <x:c r="C92" s="41"/>
      <x:c r="D92" s="42" t="str">
        <x:f>IF(C92="","",IFERROR(VLOOKUP(C92,'الطلبات'!$A$7:$D$206,4,FALSE),""))</x:f>
      </x:c>
      <x:c r="E92" s="41"/>
      <x:c r="F92" s="41"/>
      <x:c r="G92" s="52"/>
      <x:c r="H92" s="52"/>
      <x:c r="I92" s="52"/>
      <x:c r="J92" s="52"/>
      <x:c r="K92" s="52"/>
      <x:c r="L92" s="41"/>
      <x:c r="M92" s="52"/>
      <x:c r="N92" s="41"/>
      <x:c r="O92" s="41"/>
      <x:c r="P92" s="41"/>
      <x:c r="Q92" s="41"/>
      <x:c r="R92" s="41"/>
      <x:c r="S92" s="41"/>
    </x:row>
    <x:row r="93" ht="31" customHeight="1">
      <x:c r="A93" s="41"/>
      <x:c r="B93" s="48"/>
      <x:c r="C93" s="41"/>
      <x:c r="D93" s="42" t="str">
        <x:f>IF(C93="","",IFERROR(VLOOKUP(C93,'الطلبات'!$A$7:$D$206,4,FALSE),""))</x:f>
      </x:c>
      <x:c r="E93" s="41"/>
      <x:c r="F93" s="41"/>
      <x:c r="G93" s="52"/>
      <x:c r="H93" s="52"/>
      <x:c r="I93" s="52"/>
      <x:c r="J93" s="52"/>
      <x:c r="K93" s="52"/>
      <x:c r="L93" s="41"/>
      <x:c r="M93" s="52"/>
      <x:c r="N93" s="41"/>
      <x:c r="O93" s="41"/>
      <x:c r="P93" s="41"/>
      <x:c r="Q93" s="41"/>
      <x:c r="R93" s="41"/>
      <x:c r="S93" s="41"/>
    </x:row>
    <x:row r="94" ht="31" customHeight="1">
      <x:c r="A94" s="41"/>
      <x:c r="B94" s="48"/>
      <x:c r="C94" s="41"/>
      <x:c r="D94" s="42" t="str">
        <x:f>IF(C94="","",IFERROR(VLOOKUP(C94,'الطلبات'!$A$7:$D$206,4,FALSE),""))</x:f>
      </x:c>
      <x:c r="E94" s="41"/>
      <x:c r="F94" s="41"/>
      <x:c r="G94" s="52"/>
      <x:c r="H94" s="52"/>
      <x:c r="I94" s="52"/>
      <x:c r="J94" s="52"/>
      <x:c r="K94" s="52"/>
      <x:c r="L94" s="41"/>
      <x:c r="M94" s="52"/>
      <x:c r="N94" s="41"/>
      <x:c r="O94" s="41"/>
      <x:c r="P94" s="41"/>
      <x:c r="Q94" s="41"/>
      <x:c r="R94" s="41"/>
      <x:c r="S94" s="41"/>
    </x:row>
    <x:row r="95" ht="31" customHeight="1">
      <x:c r="A95" s="41"/>
      <x:c r="B95" s="48"/>
      <x:c r="C95" s="41"/>
      <x:c r="D95" s="42" t="str">
        <x:f>IF(C95="","",IFERROR(VLOOKUP(C95,'الطلبات'!$A$7:$D$206,4,FALSE),""))</x:f>
      </x:c>
      <x:c r="E95" s="41"/>
      <x:c r="F95" s="41"/>
      <x:c r="G95" s="52"/>
      <x:c r="H95" s="52"/>
      <x:c r="I95" s="52"/>
      <x:c r="J95" s="52"/>
      <x:c r="K95" s="52"/>
      <x:c r="L95" s="41"/>
      <x:c r="M95" s="52"/>
      <x:c r="N95" s="41"/>
      <x:c r="O95" s="41"/>
      <x:c r="P95" s="41"/>
      <x:c r="Q95" s="41"/>
      <x:c r="R95" s="41"/>
      <x:c r="S95" s="41"/>
    </x:row>
    <x:row r="96" ht="31" customHeight="1">
      <x:c r="A96" s="41"/>
      <x:c r="B96" s="48"/>
      <x:c r="C96" s="41"/>
      <x:c r="D96" s="42" t="str">
        <x:f>IF(C96="","",IFERROR(VLOOKUP(C96,'الطلبات'!$A$7:$D$206,4,FALSE),""))</x:f>
      </x:c>
      <x:c r="E96" s="41"/>
      <x:c r="F96" s="41"/>
      <x:c r="G96" s="52"/>
      <x:c r="H96" s="52"/>
      <x:c r="I96" s="52"/>
      <x:c r="J96" s="52"/>
      <x:c r="K96" s="52"/>
      <x:c r="L96" s="41"/>
      <x:c r="M96" s="52"/>
      <x:c r="N96" s="41"/>
      <x:c r="O96" s="41"/>
      <x:c r="P96" s="41"/>
      <x:c r="Q96" s="41"/>
      <x:c r="R96" s="41"/>
      <x:c r="S96" s="41"/>
    </x:row>
    <x:row r="97" ht="31" customHeight="1">
      <x:c r="A97" s="41"/>
      <x:c r="B97" s="48"/>
      <x:c r="C97" s="41"/>
      <x:c r="D97" s="42" t="str">
        <x:f>IF(C97="","",IFERROR(VLOOKUP(C97,'الطلبات'!$A$7:$D$206,4,FALSE),""))</x:f>
      </x:c>
      <x:c r="E97" s="41"/>
      <x:c r="F97" s="41"/>
      <x:c r="G97" s="52"/>
      <x:c r="H97" s="52"/>
      <x:c r="I97" s="52"/>
      <x:c r="J97" s="52"/>
      <x:c r="K97" s="52"/>
      <x:c r="L97" s="41"/>
      <x:c r="M97" s="52"/>
      <x:c r="N97" s="41"/>
      <x:c r="O97" s="41"/>
      <x:c r="P97" s="41"/>
      <x:c r="Q97" s="41"/>
      <x:c r="R97" s="41"/>
      <x:c r="S97" s="41"/>
    </x:row>
    <x:row r="98" ht="31" customHeight="1">
      <x:c r="A98" s="41"/>
      <x:c r="B98" s="48"/>
      <x:c r="C98" s="41"/>
      <x:c r="D98" s="42" t="str">
        <x:f>IF(C98="","",IFERROR(VLOOKUP(C98,'الطلبات'!$A$7:$D$206,4,FALSE),""))</x:f>
      </x:c>
      <x:c r="E98" s="41"/>
      <x:c r="F98" s="41"/>
      <x:c r="G98" s="52"/>
      <x:c r="H98" s="52"/>
      <x:c r="I98" s="52"/>
      <x:c r="J98" s="52"/>
      <x:c r="K98" s="52"/>
      <x:c r="L98" s="41"/>
      <x:c r="M98" s="52"/>
      <x:c r="N98" s="41"/>
      <x:c r="O98" s="41"/>
      <x:c r="P98" s="41"/>
      <x:c r="Q98" s="41"/>
      <x:c r="R98" s="41"/>
      <x:c r="S98" s="41"/>
    </x:row>
    <x:row r="99" ht="31" customHeight="1">
      <x:c r="A99" s="41"/>
      <x:c r="B99" s="48"/>
      <x:c r="C99" s="41"/>
      <x:c r="D99" s="42" t="str">
        <x:f>IF(C99="","",IFERROR(VLOOKUP(C99,'الطلبات'!$A$7:$D$206,4,FALSE),""))</x:f>
      </x:c>
      <x:c r="E99" s="41"/>
      <x:c r="F99" s="41"/>
      <x:c r="G99" s="52"/>
      <x:c r="H99" s="52"/>
      <x:c r="I99" s="52"/>
      <x:c r="J99" s="52"/>
      <x:c r="K99" s="52"/>
      <x:c r="L99" s="41"/>
      <x:c r="M99" s="52"/>
      <x:c r="N99" s="41"/>
      <x:c r="O99" s="41"/>
      <x:c r="P99" s="41"/>
      <x:c r="Q99" s="41"/>
      <x:c r="R99" s="41"/>
      <x:c r="S99" s="41"/>
    </x:row>
    <x:row r="100" ht="31" customHeight="1">
      <x:c r="A100" s="41"/>
      <x:c r="B100" s="48"/>
      <x:c r="C100" s="41"/>
      <x:c r="D100" s="42" t="str">
        <x:f>IF(C100="","",IFERROR(VLOOKUP(C100,'الطلبات'!$A$7:$D$206,4,FALSE),""))</x:f>
      </x:c>
      <x:c r="E100" s="41"/>
      <x:c r="F100" s="41"/>
      <x:c r="G100" s="52"/>
      <x:c r="H100" s="52"/>
      <x:c r="I100" s="52"/>
      <x:c r="J100" s="52"/>
      <x:c r="K100" s="52"/>
      <x:c r="L100" s="41"/>
      <x:c r="M100" s="52"/>
      <x:c r="N100" s="41"/>
      <x:c r="O100" s="41"/>
      <x:c r="P100" s="41"/>
      <x:c r="Q100" s="41"/>
      <x:c r="R100" s="41"/>
      <x:c r="S100" s="41"/>
    </x:row>
    <x:row r="101" ht="31" customHeight="1">
      <x:c r="A101" s="41"/>
      <x:c r="B101" s="48"/>
      <x:c r="C101" s="41"/>
      <x:c r="D101" s="42" t="str">
        <x:f>IF(C101="","",IFERROR(VLOOKUP(C101,'الطلبات'!$A$7:$D$206,4,FALSE),""))</x:f>
      </x:c>
      <x:c r="E101" s="41"/>
      <x:c r="F101" s="41"/>
      <x:c r="G101" s="52"/>
      <x:c r="H101" s="52"/>
      <x:c r="I101" s="52"/>
      <x:c r="J101" s="52"/>
      <x:c r="K101" s="52"/>
      <x:c r="L101" s="41"/>
      <x:c r="M101" s="52"/>
      <x:c r="N101" s="41"/>
      <x:c r="O101" s="41"/>
      <x:c r="P101" s="41"/>
      <x:c r="Q101" s="41"/>
      <x:c r="R101" s="41"/>
      <x:c r="S101" s="41"/>
    </x:row>
    <x:row r="102" ht="31" customHeight="1">
      <x:c r="A102" s="41"/>
      <x:c r="B102" s="48"/>
      <x:c r="C102" s="41"/>
      <x:c r="D102" s="42" t="str">
        <x:f>IF(C102="","",IFERROR(VLOOKUP(C102,'الطلبات'!$A$7:$D$206,4,FALSE),""))</x:f>
      </x:c>
      <x:c r="E102" s="41"/>
      <x:c r="F102" s="41"/>
      <x:c r="G102" s="52"/>
      <x:c r="H102" s="52"/>
      <x:c r="I102" s="52"/>
      <x:c r="J102" s="52"/>
      <x:c r="K102" s="52"/>
      <x:c r="L102" s="41"/>
      <x:c r="M102" s="52"/>
      <x:c r="N102" s="41"/>
      <x:c r="O102" s="41"/>
      <x:c r="P102" s="41"/>
      <x:c r="Q102" s="41"/>
      <x:c r="R102" s="41"/>
      <x:c r="S102" s="41"/>
    </x:row>
    <x:row r="103" ht="31" customHeight="1">
      <x:c r="A103" s="41"/>
      <x:c r="B103" s="48"/>
      <x:c r="C103" s="41"/>
      <x:c r="D103" s="42" t="str">
        <x:f>IF(C103="","",IFERROR(VLOOKUP(C103,'الطلبات'!$A$7:$D$206,4,FALSE),""))</x:f>
      </x:c>
      <x:c r="E103" s="41"/>
      <x:c r="F103" s="41"/>
      <x:c r="G103" s="52"/>
      <x:c r="H103" s="52"/>
      <x:c r="I103" s="52"/>
      <x:c r="J103" s="52"/>
      <x:c r="K103" s="52"/>
      <x:c r="L103" s="41"/>
      <x:c r="M103" s="52"/>
      <x:c r="N103" s="41"/>
      <x:c r="O103" s="41"/>
      <x:c r="P103" s="41"/>
      <x:c r="Q103" s="41"/>
      <x:c r="R103" s="41"/>
      <x:c r="S103" s="41"/>
    </x:row>
    <x:row r="104" ht="31" customHeight="1">
      <x:c r="A104" s="41"/>
      <x:c r="B104" s="48"/>
      <x:c r="C104" s="41"/>
      <x:c r="D104" s="42" t="str">
        <x:f>IF(C104="","",IFERROR(VLOOKUP(C104,'الطلبات'!$A$7:$D$206,4,FALSE),""))</x:f>
      </x:c>
      <x:c r="E104" s="41"/>
      <x:c r="F104" s="41"/>
      <x:c r="G104" s="52"/>
      <x:c r="H104" s="52"/>
      <x:c r="I104" s="52"/>
      <x:c r="J104" s="52"/>
      <x:c r="K104" s="52"/>
      <x:c r="L104" s="41"/>
      <x:c r="M104" s="52"/>
      <x:c r="N104" s="41"/>
      <x:c r="O104" s="41"/>
      <x:c r="P104" s="41"/>
      <x:c r="Q104" s="41"/>
      <x:c r="R104" s="41"/>
      <x:c r="S104" s="41"/>
    </x:row>
    <x:row r="105" ht="31" customHeight="1">
      <x:c r="A105" s="41"/>
      <x:c r="B105" s="48"/>
      <x:c r="C105" s="41"/>
      <x:c r="D105" s="42" t="str">
        <x:f>IF(C105="","",IFERROR(VLOOKUP(C105,'الطلبات'!$A$7:$D$206,4,FALSE),""))</x:f>
      </x:c>
      <x:c r="E105" s="41"/>
      <x:c r="F105" s="41"/>
      <x:c r="G105" s="52"/>
      <x:c r="H105" s="52"/>
      <x:c r="I105" s="52"/>
      <x:c r="J105" s="52"/>
      <x:c r="K105" s="52"/>
      <x:c r="L105" s="41"/>
      <x:c r="M105" s="52"/>
      <x:c r="N105" s="41"/>
      <x:c r="O105" s="41"/>
      <x:c r="P105" s="41"/>
      <x:c r="Q105" s="41"/>
      <x:c r="R105" s="41"/>
      <x:c r="S105" s="41"/>
    </x:row>
    <x:row r="106" ht="31" customHeight="1">
      <x:c r="A106" s="41"/>
      <x:c r="B106" s="48"/>
      <x:c r="C106" s="41"/>
      <x:c r="D106" s="42" t="str">
        <x:f>IF(C106="","",IFERROR(VLOOKUP(C106,'الطلبات'!$A$7:$D$206,4,FALSE),""))</x:f>
      </x:c>
      <x:c r="E106" s="41"/>
      <x:c r="F106" s="41"/>
      <x:c r="G106" s="52"/>
      <x:c r="H106" s="52"/>
      <x:c r="I106" s="52"/>
      <x:c r="J106" s="52"/>
      <x:c r="K106" s="52"/>
      <x:c r="L106" s="41"/>
      <x:c r="M106" s="52"/>
      <x:c r="N106" s="41"/>
      <x:c r="O106" s="41"/>
      <x:c r="P106" s="41"/>
      <x:c r="Q106" s="41"/>
      <x:c r="R106" s="41"/>
      <x:c r="S106" s="41"/>
    </x:row>
    <x:row r="107" ht="31" customHeight="1">
      <x:c r="A107" s="41"/>
      <x:c r="B107" s="48"/>
      <x:c r="C107" s="41"/>
      <x:c r="D107" s="42" t="str">
        <x:f>IF(C107="","",IFERROR(VLOOKUP(C107,'الطلبات'!$A$7:$D$206,4,FALSE),""))</x:f>
      </x:c>
      <x:c r="E107" s="41"/>
      <x:c r="F107" s="41"/>
      <x:c r="G107" s="52"/>
      <x:c r="H107" s="52"/>
      <x:c r="I107" s="52"/>
      <x:c r="J107" s="52"/>
      <x:c r="K107" s="52"/>
      <x:c r="L107" s="41"/>
      <x:c r="M107" s="52"/>
      <x:c r="N107" s="41"/>
      <x:c r="O107" s="41"/>
      <x:c r="P107" s="41"/>
      <x:c r="Q107" s="41"/>
      <x:c r="R107" s="41"/>
      <x:c r="S107" s="41"/>
    </x:row>
    <x:row r="108" ht="31" customHeight="1">
      <x:c r="A108" s="41"/>
      <x:c r="B108" s="48"/>
      <x:c r="C108" s="41"/>
      <x:c r="D108" s="42" t="str">
        <x:f>IF(C108="","",IFERROR(VLOOKUP(C108,'الطلبات'!$A$7:$D$206,4,FALSE),""))</x:f>
      </x:c>
      <x:c r="E108" s="41"/>
      <x:c r="F108" s="41"/>
      <x:c r="G108" s="52"/>
      <x:c r="H108" s="52"/>
      <x:c r="I108" s="52"/>
      <x:c r="J108" s="52"/>
      <x:c r="K108" s="52"/>
      <x:c r="L108" s="41"/>
      <x:c r="M108" s="52"/>
      <x:c r="N108" s="41"/>
      <x:c r="O108" s="41"/>
      <x:c r="P108" s="41"/>
      <x:c r="Q108" s="41"/>
      <x:c r="R108" s="41"/>
      <x:c r="S108" s="41"/>
    </x:row>
    <x:row r="109" ht="31" customHeight="1">
      <x:c r="A109" s="41"/>
      <x:c r="B109" s="48"/>
      <x:c r="C109" s="41"/>
      <x:c r="D109" s="42" t="str">
        <x:f>IF(C109="","",IFERROR(VLOOKUP(C109,'الطلبات'!$A$7:$D$206,4,FALSE),""))</x:f>
      </x:c>
      <x:c r="E109" s="41"/>
      <x:c r="F109" s="41"/>
      <x:c r="G109" s="52"/>
      <x:c r="H109" s="52"/>
      <x:c r="I109" s="52"/>
      <x:c r="J109" s="52"/>
      <x:c r="K109" s="52"/>
      <x:c r="L109" s="41"/>
      <x:c r="M109" s="52"/>
      <x:c r="N109" s="41"/>
      <x:c r="O109" s="41"/>
      <x:c r="P109" s="41"/>
      <x:c r="Q109" s="41"/>
      <x:c r="R109" s="41"/>
      <x:c r="S109" s="41"/>
    </x:row>
    <x:row r="110" ht="31" customHeight="1">
      <x:c r="A110" s="41"/>
      <x:c r="B110" s="48"/>
      <x:c r="C110" s="41"/>
      <x:c r="D110" s="42" t="str">
        <x:f>IF(C110="","",IFERROR(VLOOKUP(C110,'الطلبات'!$A$7:$D$206,4,FALSE),""))</x:f>
      </x:c>
      <x:c r="E110" s="41"/>
      <x:c r="F110" s="41"/>
      <x:c r="G110" s="52"/>
      <x:c r="H110" s="52"/>
      <x:c r="I110" s="52"/>
      <x:c r="J110" s="52"/>
      <x:c r="K110" s="52"/>
      <x:c r="L110" s="41"/>
      <x:c r="M110" s="52"/>
      <x:c r="N110" s="41"/>
      <x:c r="O110" s="41"/>
      <x:c r="P110" s="41"/>
      <x:c r="Q110" s="41"/>
      <x:c r="R110" s="41"/>
      <x:c r="S110" s="41"/>
    </x:row>
    <x:row r="111" ht="31" customHeight="1">
      <x:c r="A111" s="41"/>
      <x:c r="B111" s="48"/>
      <x:c r="C111" s="41"/>
      <x:c r="D111" s="42" t="str">
        <x:f>IF(C111="","",IFERROR(VLOOKUP(C111,'الطلبات'!$A$7:$D$206,4,FALSE),""))</x:f>
      </x:c>
      <x:c r="E111" s="41"/>
      <x:c r="F111" s="41"/>
      <x:c r="G111" s="52"/>
      <x:c r="H111" s="52"/>
      <x:c r="I111" s="52"/>
      <x:c r="J111" s="52"/>
      <x:c r="K111" s="52"/>
      <x:c r="L111" s="41"/>
      <x:c r="M111" s="52"/>
      <x:c r="N111" s="41"/>
      <x:c r="O111" s="41"/>
      <x:c r="P111" s="41"/>
      <x:c r="Q111" s="41"/>
      <x:c r="R111" s="41"/>
      <x:c r="S111" s="41"/>
    </x:row>
    <x:row r="112" ht="31" customHeight="1">
      <x:c r="A112" s="41"/>
      <x:c r="B112" s="48"/>
      <x:c r="C112" s="41"/>
      <x:c r="D112" s="42" t="str">
        <x:f>IF(C112="","",IFERROR(VLOOKUP(C112,'الطلبات'!$A$7:$D$206,4,FALSE),""))</x:f>
      </x:c>
      <x:c r="E112" s="41"/>
      <x:c r="F112" s="41"/>
      <x:c r="G112" s="52"/>
      <x:c r="H112" s="52"/>
      <x:c r="I112" s="52"/>
      <x:c r="J112" s="52"/>
      <x:c r="K112" s="52"/>
      <x:c r="L112" s="41"/>
      <x:c r="M112" s="52"/>
      <x:c r="N112" s="41"/>
      <x:c r="O112" s="41"/>
      <x:c r="P112" s="41"/>
      <x:c r="Q112" s="41"/>
      <x:c r="R112" s="41"/>
      <x:c r="S112" s="41"/>
    </x:row>
    <x:row r="113" ht="31" customHeight="1">
      <x:c r="A113" s="41"/>
      <x:c r="B113" s="48"/>
      <x:c r="C113" s="41"/>
      <x:c r="D113" s="42" t="str">
        <x:f>IF(C113="","",IFERROR(VLOOKUP(C113,'الطلبات'!$A$7:$D$206,4,FALSE),""))</x:f>
      </x:c>
      <x:c r="E113" s="41"/>
      <x:c r="F113" s="41"/>
      <x:c r="G113" s="52"/>
      <x:c r="H113" s="52"/>
      <x:c r="I113" s="52"/>
      <x:c r="J113" s="52"/>
      <x:c r="K113" s="52"/>
      <x:c r="L113" s="41"/>
      <x:c r="M113" s="52"/>
      <x:c r="N113" s="41"/>
      <x:c r="O113" s="41"/>
      <x:c r="P113" s="41"/>
      <x:c r="Q113" s="41"/>
      <x:c r="R113" s="41"/>
      <x:c r="S113" s="41"/>
    </x:row>
    <x:row r="114" ht="31" customHeight="1">
      <x:c r="A114" s="41"/>
      <x:c r="B114" s="48"/>
      <x:c r="C114" s="41"/>
      <x:c r="D114" s="42" t="str">
        <x:f>IF(C114="","",IFERROR(VLOOKUP(C114,'الطلبات'!$A$7:$D$206,4,FALSE),""))</x:f>
      </x:c>
      <x:c r="E114" s="41"/>
      <x:c r="F114" s="41"/>
      <x:c r="G114" s="52"/>
      <x:c r="H114" s="52"/>
      <x:c r="I114" s="52"/>
      <x:c r="J114" s="52"/>
      <x:c r="K114" s="52"/>
      <x:c r="L114" s="41"/>
      <x:c r="M114" s="52"/>
      <x:c r="N114" s="41"/>
      <x:c r="O114" s="41"/>
      <x:c r="P114" s="41"/>
      <x:c r="Q114" s="41"/>
      <x:c r="R114" s="41"/>
      <x:c r="S114" s="41"/>
    </x:row>
    <x:row r="115" ht="31" customHeight="1">
      <x:c r="A115" s="41"/>
      <x:c r="B115" s="48"/>
      <x:c r="C115" s="41"/>
      <x:c r="D115" s="42" t="str">
        <x:f>IF(C115="","",IFERROR(VLOOKUP(C115,'الطلبات'!$A$7:$D$206,4,FALSE),""))</x:f>
      </x:c>
      <x:c r="E115" s="41"/>
      <x:c r="F115" s="41"/>
      <x:c r="G115" s="52"/>
      <x:c r="H115" s="52"/>
      <x:c r="I115" s="52"/>
      <x:c r="J115" s="52"/>
      <x:c r="K115" s="52"/>
      <x:c r="L115" s="41"/>
      <x:c r="M115" s="52"/>
      <x:c r="N115" s="41"/>
      <x:c r="O115" s="41"/>
      <x:c r="P115" s="41"/>
      <x:c r="Q115" s="41"/>
      <x:c r="R115" s="41"/>
      <x:c r="S115" s="41"/>
    </x:row>
    <x:row r="116" ht="31" customHeight="1">
      <x:c r="A116" s="41"/>
      <x:c r="B116" s="48"/>
      <x:c r="C116" s="41"/>
      <x:c r="D116" s="42" t="str">
        <x:f>IF(C116="","",IFERROR(VLOOKUP(C116,'الطلبات'!$A$7:$D$206,4,FALSE),""))</x:f>
      </x:c>
      <x:c r="E116" s="41"/>
      <x:c r="F116" s="41"/>
      <x:c r="G116" s="52"/>
      <x:c r="H116" s="52"/>
      <x:c r="I116" s="52"/>
      <x:c r="J116" s="52"/>
      <x:c r="K116" s="52"/>
      <x:c r="L116" s="41"/>
      <x:c r="M116" s="52"/>
      <x:c r="N116" s="41"/>
      <x:c r="O116" s="41"/>
      <x:c r="P116" s="41"/>
      <x:c r="Q116" s="41"/>
      <x:c r="R116" s="41"/>
      <x:c r="S116" s="41"/>
    </x:row>
    <x:row r="117" ht="31" customHeight="1">
      <x:c r="A117" s="41"/>
      <x:c r="B117" s="48"/>
      <x:c r="C117" s="41"/>
      <x:c r="D117" s="42" t="str">
        <x:f>IF(C117="","",IFERROR(VLOOKUP(C117,'الطلبات'!$A$7:$D$206,4,FALSE),""))</x:f>
      </x:c>
      <x:c r="E117" s="41"/>
      <x:c r="F117" s="41"/>
      <x:c r="G117" s="52"/>
      <x:c r="H117" s="52"/>
      <x:c r="I117" s="52"/>
      <x:c r="J117" s="52"/>
      <x:c r="K117" s="52"/>
      <x:c r="L117" s="41"/>
      <x:c r="M117" s="52"/>
      <x:c r="N117" s="41"/>
      <x:c r="O117" s="41"/>
      <x:c r="P117" s="41"/>
      <x:c r="Q117" s="41"/>
      <x:c r="R117" s="41"/>
      <x:c r="S117" s="41"/>
    </x:row>
    <x:row r="118" ht="31" customHeight="1">
      <x:c r="A118" s="41"/>
      <x:c r="B118" s="48"/>
      <x:c r="C118" s="41"/>
      <x:c r="D118" s="42" t="str">
        <x:f>IF(C118="","",IFERROR(VLOOKUP(C118,'الطلبات'!$A$7:$D$206,4,FALSE),""))</x:f>
      </x:c>
      <x:c r="E118" s="41"/>
      <x:c r="F118" s="41"/>
      <x:c r="G118" s="52"/>
      <x:c r="H118" s="52"/>
      <x:c r="I118" s="52"/>
      <x:c r="J118" s="52"/>
      <x:c r="K118" s="52"/>
      <x:c r="L118" s="41"/>
      <x:c r="M118" s="52"/>
      <x:c r="N118" s="41"/>
      <x:c r="O118" s="41"/>
      <x:c r="P118" s="41"/>
      <x:c r="Q118" s="41"/>
      <x:c r="R118" s="41"/>
      <x:c r="S118" s="41"/>
    </x:row>
    <x:row r="119" ht="31" customHeight="1">
      <x:c r="A119" s="41"/>
      <x:c r="B119" s="48"/>
      <x:c r="C119" s="41"/>
      <x:c r="D119" s="42" t="str">
        <x:f>IF(C119="","",IFERROR(VLOOKUP(C119,'الطلبات'!$A$7:$D$206,4,FALSE),""))</x:f>
      </x:c>
      <x:c r="E119" s="41"/>
      <x:c r="F119" s="41"/>
      <x:c r="G119" s="52"/>
      <x:c r="H119" s="52"/>
      <x:c r="I119" s="52"/>
      <x:c r="J119" s="52"/>
      <x:c r="K119" s="52"/>
      <x:c r="L119" s="41"/>
      <x:c r="M119" s="52"/>
      <x:c r="N119" s="41"/>
      <x:c r="O119" s="41"/>
      <x:c r="P119" s="41"/>
      <x:c r="Q119" s="41"/>
      <x:c r="R119" s="41"/>
      <x:c r="S119" s="41"/>
    </x:row>
    <x:row r="120" ht="31" customHeight="1">
      <x:c r="A120" s="41"/>
      <x:c r="B120" s="48"/>
      <x:c r="C120" s="41"/>
      <x:c r="D120" s="42" t="str">
        <x:f>IF(C120="","",IFERROR(VLOOKUP(C120,'الطلبات'!$A$7:$D$206,4,FALSE),""))</x:f>
      </x:c>
      <x:c r="E120" s="41"/>
      <x:c r="F120" s="41"/>
      <x:c r="G120" s="52"/>
      <x:c r="H120" s="52"/>
      <x:c r="I120" s="52"/>
      <x:c r="J120" s="52"/>
      <x:c r="K120" s="52"/>
      <x:c r="L120" s="41"/>
      <x:c r="M120" s="52"/>
      <x:c r="N120" s="41"/>
      <x:c r="O120" s="41"/>
      <x:c r="P120" s="41"/>
      <x:c r="Q120" s="41"/>
      <x:c r="R120" s="41"/>
      <x:c r="S120" s="41"/>
    </x:row>
    <x:row r="121" ht="31" customHeight="1">
      <x:c r="A121" s="41"/>
      <x:c r="B121" s="48"/>
      <x:c r="C121" s="41"/>
      <x:c r="D121" s="42" t="str">
        <x:f>IF(C121="","",IFERROR(VLOOKUP(C121,'الطلبات'!$A$7:$D$206,4,FALSE),""))</x:f>
      </x:c>
      <x:c r="E121" s="41"/>
      <x:c r="F121" s="41"/>
      <x:c r="G121" s="52"/>
      <x:c r="H121" s="52"/>
      <x:c r="I121" s="52"/>
      <x:c r="J121" s="52"/>
      <x:c r="K121" s="52"/>
      <x:c r="L121" s="41"/>
      <x:c r="M121" s="52"/>
      <x:c r="N121" s="41"/>
      <x:c r="O121" s="41"/>
      <x:c r="P121" s="41"/>
      <x:c r="Q121" s="41"/>
      <x:c r="R121" s="41"/>
      <x:c r="S121" s="41"/>
    </x:row>
    <x:row r="122" ht="31" customHeight="1">
      <x:c r="A122" s="41"/>
      <x:c r="B122" s="48"/>
      <x:c r="C122" s="41"/>
      <x:c r="D122" s="42" t="str">
        <x:f>IF(C122="","",IFERROR(VLOOKUP(C122,'الطلبات'!$A$7:$D$206,4,FALSE),""))</x:f>
      </x:c>
      <x:c r="E122" s="41"/>
      <x:c r="F122" s="41"/>
      <x:c r="G122" s="52"/>
      <x:c r="H122" s="52"/>
      <x:c r="I122" s="52"/>
      <x:c r="J122" s="52"/>
      <x:c r="K122" s="52"/>
      <x:c r="L122" s="41"/>
      <x:c r="M122" s="52"/>
      <x:c r="N122" s="41"/>
      <x:c r="O122" s="41"/>
      <x:c r="P122" s="41"/>
      <x:c r="Q122" s="41"/>
      <x:c r="R122" s="41"/>
      <x:c r="S122" s="41"/>
    </x:row>
    <x:row r="123" ht="31" customHeight="1">
      <x:c r="A123" s="41"/>
      <x:c r="B123" s="48"/>
      <x:c r="C123" s="41"/>
      <x:c r="D123" s="42" t="str">
        <x:f>IF(C123="","",IFERROR(VLOOKUP(C123,'الطلبات'!$A$7:$D$206,4,FALSE),""))</x:f>
      </x:c>
      <x:c r="E123" s="41"/>
      <x:c r="F123" s="41"/>
      <x:c r="G123" s="52"/>
      <x:c r="H123" s="52"/>
      <x:c r="I123" s="52"/>
      <x:c r="J123" s="52"/>
      <x:c r="K123" s="52"/>
      <x:c r="L123" s="41"/>
      <x:c r="M123" s="52"/>
      <x:c r="N123" s="41"/>
      <x:c r="O123" s="41"/>
      <x:c r="P123" s="41"/>
      <x:c r="Q123" s="41"/>
      <x:c r="R123" s="41"/>
      <x:c r="S123" s="41"/>
    </x:row>
    <x:row r="124" ht="31" customHeight="1">
      <x:c r="A124" s="41"/>
      <x:c r="B124" s="48"/>
      <x:c r="C124" s="41"/>
      <x:c r="D124" s="42" t="str">
        <x:f>IF(C124="","",IFERROR(VLOOKUP(C124,'الطلبات'!$A$7:$D$206,4,FALSE),""))</x:f>
      </x:c>
      <x:c r="E124" s="41"/>
      <x:c r="F124" s="41"/>
      <x:c r="G124" s="52"/>
      <x:c r="H124" s="52"/>
      <x:c r="I124" s="52"/>
      <x:c r="J124" s="52"/>
      <x:c r="K124" s="52"/>
      <x:c r="L124" s="41"/>
      <x:c r="M124" s="52"/>
      <x:c r="N124" s="41"/>
      <x:c r="O124" s="41"/>
      <x:c r="P124" s="41"/>
      <x:c r="Q124" s="41"/>
      <x:c r="R124" s="41"/>
      <x:c r="S124" s="41"/>
    </x:row>
    <x:row r="125" ht="31" customHeight="1">
      <x:c r="A125" s="41"/>
      <x:c r="B125" s="48"/>
      <x:c r="C125" s="41"/>
      <x:c r="D125" s="42" t="str">
        <x:f>IF(C125="","",IFERROR(VLOOKUP(C125,'الطلبات'!$A$7:$D$206,4,FALSE),""))</x:f>
      </x:c>
      <x:c r="E125" s="41"/>
      <x:c r="F125" s="41"/>
      <x:c r="G125" s="52"/>
      <x:c r="H125" s="52"/>
      <x:c r="I125" s="52"/>
      <x:c r="J125" s="52"/>
      <x:c r="K125" s="52"/>
      <x:c r="L125" s="41"/>
      <x:c r="M125" s="52"/>
      <x:c r="N125" s="41"/>
      <x:c r="O125" s="41"/>
      <x:c r="P125" s="41"/>
      <x:c r="Q125" s="41"/>
      <x:c r="R125" s="41"/>
      <x:c r="S125" s="41"/>
    </x:row>
    <x:row r="126" ht="31" customHeight="1">
      <x:c r="A126" s="41"/>
      <x:c r="B126" s="48"/>
      <x:c r="C126" s="41"/>
      <x:c r="D126" s="42" t="str">
        <x:f>IF(C126="","",IFERROR(VLOOKUP(C126,'الطلبات'!$A$7:$D$206,4,FALSE),""))</x:f>
      </x:c>
      <x:c r="E126" s="41"/>
      <x:c r="F126" s="41"/>
      <x:c r="G126" s="52"/>
      <x:c r="H126" s="52"/>
      <x:c r="I126" s="52"/>
      <x:c r="J126" s="52"/>
      <x:c r="K126" s="52"/>
      <x:c r="L126" s="41"/>
      <x:c r="M126" s="52"/>
      <x:c r="N126" s="41"/>
      <x:c r="O126" s="41"/>
      <x:c r="P126" s="41"/>
      <x:c r="Q126" s="41"/>
      <x:c r="R126" s="41"/>
      <x:c r="S126" s="41"/>
    </x:row>
    <x:row r="127" ht="31" customHeight="1">
      <x:c r="A127" s="41"/>
      <x:c r="B127" s="48"/>
      <x:c r="C127" s="41"/>
      <x:c r="D127" s="42" t="str">
        <x:f>IF(C127="","",IFERROR(VLOOKUP(C127,'الطلبات'!$A$7:$D$206,4,FALSE),""))</x:f>
      </x:c>
      <x:c r="E127" s="41"/>
      <x:c r="F127" s="41"/>
      <x:c r="G127" s="52"/>
      <x:c r="H127" s="52"/>
      <x:c r="I127" s="52"/>
      <x:c r="J127" s="52"/>
      <x:c r="K127" s="52"/>
      <x:c r="L127" s="41"/>
      <x:c r="M127" s="52"/>
      <x:c r="N127" s="41"/>
      <x:c r="O127" s="41"/>
      <x:c r="P127" s="41"/>
      <x:c r="Q127" s="41"/>
      <x:c r="R127" s="41"/>
      <x:c r="S127" s="41"/>
    </x:row>
    <x:row r="128" ht="31" customHeight="1">
      <x:c r="A128" s="41"/>
      <x:c r="B128" s="48"/>
      <x:c r="C128" s="41"/>
      <x:c r="D128" s="42" t="str">
        <x:f>IF(C128="","",IFERROR(VLOOKUP(C128,'الطلبات'!$A$7:$D$206,4,FALSE),""))</x:f>
      </x:c>
      <x:c r="E128" s="41"/>
      <x:c r="F128" s="41"/>
      <x:c r="G128" s="52"/>
      <x:c r="H128" s="52"/>
      <x:c r="I128" s="52"/>
      <x:c r="J128" s="52"/>
      <x:c r="K128" s="52"/>
      <x:c r="L128" s="41"/>
      <x:c r="M128" s="52"/>
      <x:c r="N128" s="41"/>
      <x:c r="O128" s="41"/>
      <x:c r="P128" s="41"/>
      <x:c r="Q128" s="41"/>
      <x:c r="R128" s="41"/>
      <x:c r="S128" s="41"/>
    </x:row>
    <x:row r="129" ht="31" customHeight="1">
      <x:c r="A129" s="41"/>
      <x:c r="B129" s="48"/>
      <x:c r="C129" s="41"/>
      <x:c r="D129" s="42" t="str">
        <x:f>IF(C129="","",IFERROR(VLOOKUP(C129,'الطلبات'!$A$7:$D$206,4,FALSE),""))</x:f>
      </x:c>
      <x:c r="E129" s="41"/>
      <x:c r="F129" s="41"/>
      <x:c r="G129" s="52"/>
      <x:c r="H129" s="52"/>
      <x:c r="I129" s="52"/>
      <x:c r="J129" s="52"/>
      <x:c r="K129" s="52"/>
      <x:c r="L129" s="41"/>
      <x:c r="M129" s="52"/>
      <x:c r="N129" s="41"/>
      <x:c r="O129" s="41"/>
      <x:c r="P129" s="41"/>
      <x:c r="Q129" s="41"/>
      <x:c r="R129" s="41"/>
      <x:c r="S129" s="41"/>
    </x:row>
    <x:row r="130" ht="31" customHeight="1">
      <x:c r="A130" s="41"/>
      <x:c r="B130" s="48"/>
      <x:c r="C130" s="41"/>
      <x:c r="D130" s="42" t="str">
        <x:f>IF(C130="","",IFERROR(VLOOKUP(C130,'الطلبات'!$A$7:$D$206,4,FALSE),""))</x:f>
      </x:c>
      <x:c r="E130" s="41"/>
      <x:c r="F130" s="41"/>
      <x:c r="G130" s="52"/>
      <x:c r="H130" s="52"/>
      <x:c r="I130" s="52"/>
      <x:c r="J130" s="52"/>
      <x:c r="K130" s="52"/>
      <x:c r="L130" s="41"/>
      <x:c r="M130" s="52"/>
      <x:c r="N130" s="41"/>
      <x:c r="O130" s="41"/>
      <x:c r="P130" s="41"/>
      <x:c r="Q130" s="41"/>
      <x:c r="R130" s="41"/>
      <x:c r="S130" s="41"/>
    </x:row>
    <x:row r="131" ht="31" customHeight="1">
      <x:c r="A131" s="41"/>
      <x:c r="B131" s="48"/>
      <x:c r="C131" s="41"/>
      <x:c r="D131" s="42" t="str">
        <x:f>IF(C131="","",IFERROR(VLOOKUP(C131,'الطلبات'!$A$7:$D$206,4,FALSE),""))</x:f>
      </x:c>
      <x:c r="E131" s="41"/>
      <x:c r="F131" s="41"/>
      <x:c r="G131" s="52"/>
      <x:c r="H131" s="52"/>
      <x:c r="I131" s="52"/>
      <x:c r="J131" s="52"/>
      <x:c r="K131" s="52"/>
      <x:c r="L131" s="41"/>
      <x:c r="M131" s="52"/>
      <x:c r="N131" s="41"/>
      <x:c r="O131" s="41"/>
      <x:c r="P131" s="41"/>
      <x:c r="Q131" s="41"/>
      <x:c r="R131" s="41"/>
      <x:c r="S131" s="41"/>
    </x:row>
    <x:row r="132" ht="31" customHeight="1">
      <x:c r="A132" s="41"/>
      <x:c r="B132" s="48"/>
      <x:c r="C132" s="41"/>
      <x:c r="D132" s="42" t="str">
        <x:f>IF(C132="","",IFERROR(VLOOKUP(C132,'الطلبات'!$A$7:$D$206,4,FALSE),""))</x:f>
      </x:c>
      <x:c r="E132" s="41"/>
      <x:c r="F132" s="41"/>
      <x:c r="G132" s="52"/>
      <x:c r="H132" s="52"/>
      <x:c r="I132" s="52"/>
      <x:c r="J132" s="52"/>
      <x:c r="K132" s="52"/>
      <x:c r="L132" s="41"/>
      <x:c r="M132" s="52"/>
      <x:c r="N132" s="41"/>
      <x:c r="O132" s="41"/>
      <x:c r="P132" s="41"/>
      <x:c r="Q132" s="41"/>
      <x:c r="R132" s="41"/>
      <x:c r="S132" s="41"/>
    </x:row>
    <x:row r="133" ht="31" customHeight="1">
      <x:c r="A133" s="41"/>
      <x:c r="B133" s="48"/>
      <x:c r="C133" s="41"/>
      <x:c r="D133" s="42" t="str">
        <x:f>IF(C133="","",IFERROR(VLOOKUP(C133,'الطلبات'!$A$7:$D$206,4,FALSE),""))</x:f>
      </x:c>
      <x:c r="E133" s="41"/>
      <x:c r="F133" s="41"/>
      <x:c r="G133" s="52"/>
      <x:c r="H133" s="52"/>
      <x:c r="I133" s="52"/>
      <x:c r="J133" s="52"/>
      <x:c r="K133" s="52"/>
      <x:c r="L133" s="41"/>
      <x:c r="M133" s="52"/>
      <x:c r="N133" s="41"/>
      <x:c r="O133" s="41"/>
      <x:c r="P133" s="41"/>
      <x:c r="Q133" s="41"/>
      <x:c r="R133" s="41"/>
      <x:c r="S133" s="41"/>
    </x:row>
    <x:row r="134" ht="31" customHeight="1">
      <x:c r="A134" s="41"/>
      <x:c r="B134" s="48"/>
      <x:c r="C134" s="41"/>
      <x:c r="D134" s="42" t="str">
        <x:f>IF(C134="","",IFERROR(VLOOKUP(C134,'الطلبات'!$A$7:$D$206,4,FALSE),""))</x:f>
      </x:c>
      <x:c r="E134" s="41"/>
      <x:c r="F134" s="41"/>
      <x:c r="G134" s="52"/>
      <x:c r="H134" s="52"/>
      <x:c r="I134" s="52"/>
      <x:c r="J134" s="52"/>
      <x:c r="K134" s="52"/>
      <x:c r="L134" s="41"/>
      <x:c r="M134" s="52"/>
      <x:c r="N134" s="41"/>
      <x:c r="O134" s="41"/>
      <x:c r="P134" s="41"/>
      <x:c r="Q134" s="41"/>
      <x:c r="R134" s="41"/>
      <x:c r="S134" s="41"/>
    </x:row>
    <x:row r="135" ht="31" customHeight="1">
      <x:c r="A135" s="41"/>
      <x:c r="B135" s="48"/>
      <x:c r="C135" s="41"/>
      <x:c r="D135" s="42" t="str">
        <x:f>IF(C135="","",IFERROR(VLOOKUP(C135,'الطلبات'!$A$7:$D$206,4,FALSE),""))</x:f>
      </x:c>
      <x:c r="E135" s="41"/>
      <x:c r="F135" s="41"/>
      <x:c r="G135" s="52"/>
      <x:c r="H135" s="52"/>
      <x:c r="I135" s="52"/>
      <x:c r="J135" s="52"/>
      <x:c r="K135" s="52"/>
      <x:c r="L135" s="41"/>
      <x:c r="M135" s="52"/>
      <x:c r="N135" s="41"/>
      <x:c r="O135" s="41"/>
      <x:c r="P135" s="41"/>
      <x:c r="Q135" s="41"/>
      <x:c r="R135" s="41"/>
      <x:c r="S135" s="41"/>
    </x:row>
    <x:row r="136" ht="31" customHeight="1">
      <x:c r="A136" s="41"/>
      <x:c r="B136" s="48"/>
      <x:c r="C136" s="41"/>
      <x:c r="D136" s="42" t="str">
        <x:f>IF(C136="","",IFERROR(VLOOKUP(C136,'الطلبات'!$A$7:$D$206,4,FALSE),""))</x:f>
      </x:c>
      <x:c r="E136" s="41"/>
      <x:c r="F136" s="41"/>
      <x:c r="G136" s="52"/>
      <x:c r="H136" s="52"/>
      <x:c r="I136" s="52"/>
      <x:c r="J136" s="52"/>
      <x:c r="K136" s="52"/>
      <x:c r="L136" s="41"/>
      <x:c r="M136" s="52"/>
      <x:c r="N136" s="41"/>
      <x:c r="O136" s="41"/>
      <x:c r="P136" s="41"/>
      <x:c r="Q136" s="41"/>
      <x:c r="R136" s="41"/>
      <x:c r="S136" s="41"/>
    </x:row>
    <x:row r="137" ht="31" customHeight="1">
      <x:c r="A137" s="41"/>
      <x:c r="B137" s="48"/>
      <x:c r="C137" s="41"/>
      <x:c r="D137" s="42" t="str">
        <x:f>IF(C137="","",IFERROR(VLOOKUP(C137,'الطلبات'!$A$7:$D$206,4,FALSE),""))</x:f>
      </x:c>
      <x:c r="E137" s="41"/>
      <x:c r="F137" s="41"/>
      <x:c r="G137" s="52"/>
      <x:c r="H137" s="52"/>
      <x:c r="I137" s="52"/>
      <x:c r="J137" s="52"/>
      <x:c r="K137" s="52"/>
      <x:c r="L137" s="41"/>
      <x:c r="M137" s="52"/>
      <x:c r="N137" s="41"/>
      <x:c r="O137" s="41"/>
      <x:c r="P137" s="41"/>
      <x:c r="Q137" s="41"/>
      <x:c r="R137" s="41"/>
      <x:c r="S137" s="41"/>
    </x:row>
    <x:row r="138" ht="31" customHeight="1">
      <x:c r="A138" s="41"/>
      <x:c r="B138" s="48"/>
      <x:c r="C138" s="41"/>
      <x:c r="D138" s="42" t="str">
        <x:f>IF(C138="","",IFERROR(VLOOKUP(C138,'الطلبات'!$A$7:$D$206,4,FALSE),""))</x:f>
      </x:c>
      <x:c r="E138" s="41"/>
      <x:c r="F138" s="41"/>
      <x:c r="G138" s="52"/>
      <x:c r="H138" s="52"/>
      <x:c r="I138" s="52"/>
      <x:c r="J138" s="52"/>
      <x:c r="K138" s="52"/>
      <x:c r="L138" s="41"/>
      <x:c r="M138" s="52"/>
      <x:c r="N138" s="41"/>
      <x:c r="O138" s="41"/>
      <x:c r="P138" s="41"/>
      <x:c r="Q138" s="41"/>
      <x:c r="R138" s="41"/>
      <x:c r="S138" s="41"/>
    </x:row>
    <x:row r="139" ht="31" customHeight="1">
      <x:c r="A139" s="41"/>
      <x:c r="B139" s="48"/>
      <x:c r="C139" s="41"/>
      <x:c r="D139" s="42" t="str">
        <x:f>IF(C139="","",IFERROR(VLOOKUP(C139,'الطلبات'!$A$7:$D$206,4,FALSE),""))</x:f>
      </x:c>
      <x:c r="E139" s="41"/>
      <x:c r="F139" s="41"/>
      <x:c r="G139" s="52"/>
      <x:c r="H139" s="52"/>
      <x:c r="I139" s="52"/>
      <x:c r="J139" s="52"/>
      <x:c r="K139" s="52"/>
      <x:c r="L139" s="41"/>
      <x:c r="M139" s="52"/>
      <x:c r="N139" s="41"/>
      <x:c r="O139" s="41"/>
      <x:c r="P139" s="41"/>
      <x:c r="Q139" s="41"/>
      <x:c r="R139" s="41"/>
      <x:c r="S139" s="41"/>
    </x:row>
    <x:row r="140" ht="31" customHeight="1">
      <x:c r="A140" s="41"/>
      <x:c r="B140" s="48"/>
      <x:c r="C140" s="41"/>
      <x:c r="D140" s="42" t="str">
        <x:f>IF(C140="","",IFERROR(VLOOKUP(C140,'الطلبات'!$A$7:$D$206,4,FALSE),""))</x:f>
      </x:c>
      <x:c r="E140" s="41"/>
      <x:c r="F140" s="41"/>
      <x:c r="G140" s="52"/>
      <x:c r="H140" s="52"/>
      <x:c r="I140" s="52"/>
      <x:c r="J140" s="52"/>
      <x:c r="K140" s="52"/>
      <x:c r="L140" s="41"/>
      <x:c r="M140" s="52"/>
      <x:c r="N140" s="41"/>
      <x:c r="O140" s="41"/>
      <x:c r="P140" s="41"/>
      <x:c r="Q140" s="41"/>
      <x:c r="R140" s="41"/>
      <x:c r="S140" s="41"/>
    </x:row>
    <x:row r="141" ht="31" customHeight="1">
      <x:c r="A141" s="41"/>
      <x:c r="B141" s="48"/>
      <x:c r="C141" s="41"/>
      <x:c r="D141" s="42" t="str">
        <x:f>IF(C141="","",IFERROR(VLOOKUP(C141,'الطلبات'!$A$7:$D$206,4,FALSE),""))</x:f>
      </x:c>
      <x:c r="E141" s="41"/>
      <x:c r="F141" s="41"/>
      <x:c r="G141" s="52"/>
      <x:c r="H141" s="52"/>
      <x:c r="I141" s="52"/>
      <x:c r="J141" s="52"/>
      <x:c r="K141" s="52"/>
      <x:c r="L141" s="41"/>
      <x:c r="M141" s="52"/>
      <x:c r="N141" s="41"/>
      <x:c r="O141" s="41"/>
      <x:c r="P141" s="41"/>
      <x:c r="Q141" s="41"/>
      <x:c r="R141" s="41"/>
      <x:c r="S141" s="41"/>
    </x:row>
    <x:row r="142" ht="31" customHeight="1">
      <x:c r="A142" s="41"/>
      <x:c r="B142" s="48"/>
      <x:c r="C142" s="41"/>
      <x:c r="D142" s="42" t="str">
        <x:f>IF(C142="","",IFERROR(VLOOKUP(C142,'الطلبات'!$A$7:$D$206,4,FALSE),""))</x:f>
      </x:c>
      <x:c r="E142" s="41"/>
      <x:c r="F142" s="41"/>
      <x:c r="G142" s="52"/>
      <x:c r="H142" s="52"/>
      <x:c r="I142" s="52"/>
      <x:c r="J142" s="52"/>
      <x:c r="K142" s="52"/>
      <x:c r="L142" s="41"/>
      <x:c r="M142" s="52"/>
      <x:c r="N142" s="41"/>
      <x:c r="O142" s="41"/>
      <x:c r="P142" s="41"/>
      <x:c r="Q142" s="41"/>
      <x:c r="R142" s="41"/>
      <x:c r="S142" s="41"/>
    </x:row>
    <x:row r="143" ht="31" customHeight="1">
      <x:c r="A143" s="41"/>
      <x:c r="B143" s="48"/>
      <x:c r="C143" s="41"/>
      <x:c r="D143" s="42" t="str">
        <x:f>IF(C143="","",IFERROR(VLOOKUP(C143,'الطلبات'!$A$7:$D$206,4,FALSE),""))</x:f>
      </x:c>
      <x:c r="E143" s="41"/>
      <x:c r="F143" s="41"/>
      <x:c r="G143" s="52"/>
      <x:c r="H143" s="52"/>
      <x:c r="I143" s="52"/>
      <x:c r="J143" s="52"/>
      <x:c r="K143" s="52"/>
      <x:c r="L143" s="41"/>
      <x:c r="M143" s="52"/>
      <x:c r="N143" s="41"/>
      <x:c r="O143" s="41"/>
      <x:c r="P143" s="41"/>
      <x:c r="Q143" s="41"/>
      <x:c r="R143" s="41"/>
      <x:c r="S143" s="41"/>
    </x:row>
    <x:row r="144" ht="31" customHeight="1">
      <x:c r="A144" s="41"/>
      <x:c r="B144" s="48"/>
      <x:c r="C144" s="41"/>
      <x:c r="D144" s="42" t="str">
        <x:f>IF(C144="","",IFERROR(VLOOKUP(C144,'الطلبات'!$A$7:$D$206,4,FALSE),""))</x:f>
      </x:c>
      <x:c r="E144" s="41"/>
      <x:c r="F144" s="41"/>
      <x:c r="G144" s="52"/>
      <x:c r="H144" s="52"/>
      <x:c r="I144" s="52"/>
      <x:c r="J144" s="52"/>
      <x:c r="K144" s="52"/>
      <x:c r="L144" s="41"/>
      <x:c r="M144" s="52"/>
      <x:c r="N144" s="41"/>
      <x:c r="O144" s="41"/>
      <x:c r="P144" s="41"/>
      <x:c r="Q144" s="41"/>
      <x:c r="R144" s="41"/>
      <x:c r="S144" s="41"/>
    </x:row>
    <x:row r="145" ht="31" customHeight="1">
      <x:c r="A145" s="41"/>
      <x:c r="B145" s="48"/>
      <x:c r="C145" s="41"/>
      <x:c r="D145" s="42" t="str">
        <x:f>IF(C145="","",IFERROR(VLOOKUP(C145,'الطلبات'!$A$7:$D$206,4,FALSE),""))</x:f>
      </x:c>
      <x:c r="E145" s="41"/>
      <x:c r="F145" s="41"/>
      <x:c r="G145" s="52"/>
      <x:c r="H145" s="52"/>
      <x:c r="I145" s="52"/>
      <x:c r="J145" s="52"/>
      <x:c r="K145" s="52"/>
      <x:c r="L145" s="41"/>
      <x:c r="M145" s="52"/>
      <x:c r="N145" s="41"/>
      <x:c r="O145" s="41"/>
      <x:c r="P145" s="41"/>
      <x:c r="Q145" s="41"/>
      <x:c r="R145" s="41"/>
      <x:c r="S145" s="41"/>
    </x:row>
    <x:row r="146" ht="31" customHeight="1">
      <x:c r="A146" s="41"/>
      <x:c r="B146" s="48"/>
      <x:c r="C146" s="41"/>
      <x:c r="D146" s="42" t="str">
        <x:f>IF(C146="","",IFERROR(VLOOKUP(C146,'الطلبات'!$A$7:$D$206,4,FALSE),""))</x:f>
      </x:c>
      <x:c r="E146" s="41"/>
      <x:c r="F146" s="41"/>
      <x:c r="G146" s="52"/>
      <x:c r="H146" s="52"/>
      <x:c r="I146" s="52"/>
      <x:c r="J146" s="52"/>
      <x:c r="K146" s="52"/>
      <x:c r="L146" s="41"/>
      <x:c r="M146" s="52"/>
      <x:c r="N146" s="41"/>
      <x:c r="O146" s="41"/>
      <x:c r="P146" s="41"/>
      <x:c r="Q146" s="41"/>
      <x:c r="R146" s="41"/>
      <x:c r="S146" s="41"/>
    </x:row>
    <x:row r="147" ht="31" customHeight="1">
      <x:c r="A147" s="41"/>
      <x:c r="B147" s="48"/>
      <x:c r="C147" s="41"/>
      <x:c r="D147" s="42" t="str">
        <x:f>IF(C147="","",IFERROR(VLOOKUP(C147,'الطلبات'!$A$7:$D$206,4,FALSE),""))</x:f>
      </x:c>
      <x:c r="E147" s="41"/>
      <x:c r="F147" s="41"/>
      <x:c r="G147" s="52"/>
      <x:c r="H147" s="52"/>
      <x:c r="I147" s="52"/>
      <x:c r="J147" s="52"/>
      <x:c r="K147" s="52"/>
      <x:c r="L147" s="41"/>
      <x:c r="M147" s="52"/>
      <x:c r="N147" s="41"/>
      <x:c r="O147" s="41"/>
      <x:c r="P147" s="41"/>
      <x:c r="Q147" s="41"/>
      <x:c r="R147" s="41"/>
      <x:c r="S147" s="41"/>
    </x:row>
    <x:row r="148" ht="31" customHeight="1">
      <x:c r="A148" s="41"/>
      <x:c r="B148" s="48"/>
      <x:c r="C148" s="41"/>
      <x:c r="D148" s="42" t="str">
        <x:f>IF(C148="","",IFERROR(VLOOKUP(C148,'الطلبات'!$A$7:$D$206,4,FALSE),""))</x:f>
      </x:c>
      <x:c r="E148" s="41"/>
      <x:c r="F148" s="41"/>
      <x:c r="G148" s="52"/>
      <x:c r="H148" s="52"/>
      <x:c r="I148" s="52"/>
      <x:c r="J148" s="52"/>
      <x:c r="K148" s="52"/>
      <x:c r="L148" s="41"/>
      <x:c r="M148" s="52"/>
      <x:c r="N148" s="41"/>
      <x:c r="O148" s="41"/>
      <x:c r="P148" s="41"/>
      <x:c r="Q148" s="41"/>
      <x:c r="R148" s="41"/>
      <x:c r="S148" s="41"/>
    </x:row>
    <x:row r="149" ht="31" customHeight="1">
      <x:c r="A149" s="41"/>
      <x:c r="B149" s="48"/>
      <x:c r="C149" s="41"/>
      <x:c r="D149" s="42" t="str">
        <x:f>IF(C149="","",IFERROR(VLOOKUP(C149,'الطلبات'!$A$7:$D$206,4,FALSE),""))</x:f>
      </x:c>
      <x:c r="E149" s="41"/>
      <x:c r="F149" s="41"/>
      <x:c r="G149" s="52"/>
      <x:c r="H149" s="52"/>
      <x:c r="I149" s="52"/>
      <x:c r="J149" s="52"/>
      <x:c r="K149" s="52"/>
      <x:c r="L149" s="41"/>
      <x:c r="M149" s="52"/>
      <x:c r="N149" s="41"/>
      <x:c r="O149" s="41"/>
      <x:c r="P149" s="41"/>
      <x:c r="Q149" s="41"/>
      <x:c r="R149" s="41"/>
      <x:c r="S149" s="41"/>
    </x:row>
    <x:row r="150" ht="31" customHeight="1">
      <x:c r="A150" s="41"/>
      <x:c r="B150" s="48"/>
      <x:c r="C150" s="41"/>
      <x:c r="D150" s="42" t="str">
        <x:f>IF(C150="","",IFERROR(VLOOKUP(C150,'الطلبات'!$A$7:$D$206,4,FALSE),""))</x:f>
      </x:c>
      <x:c r="E150" s="41"/>
      <x:c r="F150" s="41"/>
      <x:c r="G150" s="52"/>
      <x:c r="H150" s="52"/>
      <x:c r="I150" s="52"/>
      <x:c r="J150" s="52"/>
      <x:c r="K150" s="52"/>
      <x:c r="L150" s="41"/>
      <x:c r="M150" s="52"/>
      <x:c r="N150" s="41"/>
      <x:c r="O150" s="41"/>
      <x:c r="P150" s="41"/>
      <x:c r="Q150" s="41"/>
      <x:c r="R150" s="41"/>
      <x:c r="S150" s="41"/>
    </x:row>
    <x:row r="151" ht="31" customHeight="1">
      <x:c r="A151" s="41"/>
      <x:c r="B151" s="48"/>
      <x:c r="C151" s="41"/>
      <x:c r="D151" s="42" t="str">
        <x:f>IF(C151="","",IFERROR(VLOOKUP(C151,'الطلبات'!$A$7:$D$206,4,FALSE),""))</x:f>
      </x:c>
      <x:c r="E151" s="41"/>
      <x:c r="F151" s="41"/>
      <x:c r="G151" s="52"/>
      <x:c r="H151" s="52"/>
      <x:c r="I151" s="52"/>
      <x:c r="J151" s="52"/>
      <x:c r="K151" s="52"/>
      <x:c r="L151" s="41"/>
      <x:c r="M151" s="52"/>
      <x:c r="N151" s="41"/>
      <x:c r="O151" s="41"/>
      <x:c r="P151" s="41"/>
      <x:c r="Q151" s="41"/>
      <x:c r="R151" s="41"/>
      <x:c r="S151" s="41"/>
    </x:row>
    <x:row r="152" ht="31" customHeight="1">
      <x:c r="A152" s="41"/>
      <x:c r="B152" s="48"/>
      <x:c r="C152" s="41"/>
      <x:c r="D152" s="42" t="str">
        <x:f>IF(C152="","",IFERROR(VLOOKUP(C152,'الطلبات'!$A$7:$D$206,4,FALSE),""))</x:f>
      </x:c>
      <x:c r="E152" s="41"/>
      <x:c r="F152" s="41"/>
      <x:c r="G152" s="52"/>
      <x:c r="H152" s="52"/>
      <x:c r="I152" s="52"/>
      <x:c r="J152" s="52"/>
      <x:c r="K152" s="52"/>
      <x:c r="L152" s="41"/>
      <x:c r="M152" s="52"/>
      <x:c r="N152" s="41"/>
      <x:c r="O152" s="41"/>
      <x:c r="P152" s="41"/>
      <x:c r="Q152" s="41"/>
      <x:c r="R152" s="41"/>
      <x:c r="S152" s="41"/>
    </x:row>
    <x:row r="153" ht="31" customHeight="1">
      <x:c r="A153" s="41"/>
      <x:c r="B153" s="48"/>
      <x:c r="C153" s="41"/>
      <x:c r="D153" s="42" t="str">
        <x:f>IF(C153="","",IFERROR(VLOOKUP(C153,'الطلبات'!$A$7:$D$206,4,FALSE),""))</x:f>
      </x:c>
      <x:c r="E153" s="41"/>
      <x:c r="F153" s="41"/>
      <x:c r="G153" s="52"/>
      <x:c r="H153" s="52"/>
      <x:c r="I153" s="52"/>
      <x:c r="J153" s="52"/>
      <x:c r="K153" s="52"/>
      <x:c r="L153" s="41"/>
      <x:c r="M153" s="52"/>
      <x:c r="N153" s="41"/>
      <x:c r="O153" s="41"/>
      <x:c r="P153" s="41"/>
      <x:c r="Q153" s="41"/>
      <x:c r="R153" s="41"/>
      <x:c r="S153" s="41"/>
    </x:row>
    <x:row r="154" ht="31" customHeight="1">
      <x:c r="A154" s="41"/>
      <x:c r="B154" s="48"/>
      <x:c r="C154" s="41"/>
      <x:c r="D154" s="42" t="str">
        <x:f>IF(C154="","",IFERROR(VLOOKUP(C154,'الطلبات'!$A$7:$D$206,4,FALSE),""))</x:f>
      </x:c>
      <x:c r="E154" s="41"/>
      <x:c r="F154" s="41"/>
      <x:c r="G154" s="52"/>
      <x:c r="H154" s="52"/>
      <x:c r="I154" s="52"/>
      <x:c r="J154" s="52"/>
      <x:c r="K154" s="52"/>
      <x:c r="L154" s="41"/>
      <x:c r="M154" s="52"/>
      <x:c r="N154" s="41"/>
      <x:c r="O154" s="41"/>
      <x:c r="P154" s="41"/>
      <x:c r="Q154" s="41"/>
      <x:c r="R154" s="41"/>
      <x:c r="S154" s="41"/>
    </x:row>
    <x:row r="155" ht="31" customHeight="1">
      <x:c r="A155" s="41"/>
      <x:c r="B155" s="48"/>
      <x:c r="C155" s="41"/>
      <x:c r="D155" s="42" t="str">
        <x:f>IF(C155="","",IFERROR(VLOOKUP(C155,'الطلبات'!$A$7:$D$206,4,FALSE),""))</x:f>
      </x:c>
      <x:c r="E155" s="41"/>
      <x:c r="F155" s="41"/>
      <x:c r="G155" s="52"/>
      <x:c r="H155" s="52"/>
      <x:c r="I155" s="52"/>
      <x:c r="J155" s="52"/>
      <x:c r="K155" s="52"/>
      <x:c r="L155" s="41"/>
      <x:c r="M155" s="52"/>
      <x:c r="N155" s="41"/>
      <x:c r="O155" s="41"/>
      <x:c r="P155" s="41"/>
      <x:c r="Q155" s="41"/>
      <x:c r="R155" s="41"/>
      <x:c r="S155" s="41"/>
    </x:row>
    <x:row r="156" ht="31" customHeight="1">
      <x:c r="A156" s="41"/>
      <x:c r="B156" s="48"/>
      <x:c r="C156" s="41"/>
      <x:c r="D156" s="42" t="str">
        <x:f>IF(C156="","",IFERROR(VLOOKUP(C156,'الطلبات'!$A$7:$D$206,4,FALSE),""))</x:f>
      </x:c>
      <x:c r="E156" s="41"/>
      <x:c r="F156" s="41"/>
      <x:c r="G156" s="52"/>
      <x:c r="H156" s="52"/>
      <x:c r="I156" s="52"/>
      <x:c r="J156" s="52"/>
      <x:c r="K156" s="52"/>
      <x:c r="L156" s="41"/>
      <x:c r="M156" s="52"/>
      <x:c r="N156" s="41"/>
      <x:c r="O156" s="41"/>
      <x:c r="P156" s="41"/>
      <x:c r="Q156" s="41"/>
      <x:c r="R156" s="41"/>
      <x:c r="S156" s="41"/>
    </x:row>
    <x:row r="157" ht="31" customHeight="1">
      <x:c r="A157" s="41"/>
      <x:c r="B157" s="48"/>
      <x:c r="C157" s="41"/>
      <x:c r="D157" s="42" t="str">
        <x:f>IF(C157="","",IFERROR(VLOOKUP(C157,'الطلبات'!$A$7:$D$206,4,FALSE),""))</x:f>
      </x:c>
      <x:c r="E157" s="41"/>
      <x:c r="F157" s="41"/>
      <x:c r="G157" s="52"/>
      <x:c r="H157" s="52"/>
      <x:c r="I157" s="52"/>
      <x:c r="J157" s="52"/>
      <x:c r="K157" s="52"/>
      <x:c r="L157" s="41"/>
      <x:c r="M157" s="52"/>
      <x:c r="N157" s="41"/>
      <x:c r="O157" s="41"/>
      <x:c r="P157" s="41"/>
      <x:c r="Q157" s="41"/>
      <x:c r="R157" s="41"/>
      <x:c r="S157" s="41"/>
    </x:row>
    <x:row r="158" ht="31" customHeight="1">
      <x:c r="A158" s="41"/>
      <x:c r="B158" s="48"/>
      <x:c r="C158" s="41"/>
      <x:c r="D158" s="42" t="str">
        <x:f>IF(C158="","",IFERROR(VLOOKUP(C158,'الطلبات'!$A$7:$D$206,4,FALSE),""))</x:f>
      </x:c>
      <x:c r="E158" s="41"/>
      <x:c r="F158" s="41"/>
      <x:c r="G158" s="52"/>
      <x:c r="H158" s="52"/>
      <x:c r="I158" s="52"/>
      <x:c r="J158" s="52"/>
      <x:c r="K158" s="52"/>
      <x:c r="L158" s="41"/>
      <x:c r="M158" s="52"/>
      <x:c r="N158" s="41"/>
      <x:c r="O158" s="41"/>
      <x:c r="P158" s="41"/>
      <x:c r="Q158" s="41"/>
      <x:c r="R158" s="41"/>
      <x:c r="S158" s="41"/>
    </x:row>
    <x:row r="159" ht="31" customHeight="1">
      <x:c r="A159" s="41"/>
      <x:c r="B159" s="48"/>
      <x:c r="C159" s="41"/>
      <x:c r="D159" s="42" t="str">
        <x:f>IF(C159="","",IFERROR(VLOOKUP(C159,'الطلبات'!$A$7:$D$206,4,FALSE),""))</x:f>
      </x:c>
      <x:c r="E159" s="41"/>
      <x:c r="F159" s="41"/>
      <x:c r="G159" s="52"/>
      <x:c r="H159" s="52"/>
      <x:c r="I159" s="52"/>
      <x:c r="J159" s="52"/>
      <x:c r="K159" s="52"/>
      <x:c r="L159" s="41"/>
      <x:c r="M159" s="52"/>
      <x:c r="N159" s="41"/>
      <x:c r="O159" s="41"/>
      <x:c r="P159" s="41"/>
      <x:c r="Q159" s="41"/>
      <x:c r="R159" s="41"/>
      <x:c r="S159" s="41"/>
    </x:row>
    <x:row r="160" ht="31" customHeight="1">
      <x:c r="A160" s="41"/>
      <x:c r="B160" s="48"/>
      <x:c r="C160" s="41"/>
      <x:c r="D160" s="42" t="str">
        <x:f>IF(C160="","",IFERROR(VLOOKUP(C160,'الطلبات'!$A$7:$D$206,4,FALSE),""))</x:f>
      </x:c>
      <x:c r="E160" s="41"/>
      <x:c r="F160" s="41"/>
      <x:c r="G160" s="52"/>
      <x:c r="H160" s="52"/>
      <x:c r="I160" s="52"/>
      <x:c r="J160" s="52"/>
      <x:c r="K160" s="52"/>
      <x:c r="L160" s="41"/>
      <x:c r="M160" s="52"/>
      <x:c r="N160" s="41"/>
      <x:c r="O160" s="41"/>
      <x:c r="P160" s="41"/>
      <x:c r="Q160" s="41"/>
      <x:c r="R160" s="41"/>
      <x:c r="S160" s="41"/>
    </x:row>
    <x:row r="161" ht="31" customHeight="1">
      <x:c r="A161" s="41"/>
      <x:c r="B161" s="48"/>
      <x:c r="C161" s="41"/>
      <x:c r="D161" s="42" t="str">
        <x:f>IF(C161="","",IFERROR(VLOOKUP(C161,'الطلبات'!$A$7:$D$206,4,FALSE),""))</x:f>
      </x:c>
      <x:c r="E161" s="41"/>
      <x:c r="F161" s="41"/>
      <x:c r="G161" s="52"/>
      <x:c r="H161" s="52"/>
      <x:c r="I161" s="52"/>
      <x:c r="J161" s="52"/>
      <x:c r="K161" s="52"/>
      <x:c r="L161" s="41"/>
      <x:c r="M161" s="52"/>
      <x:c r="N161" s="41"/>
      <x:c r="O161" s="41"/>
      <x:c r="P161" s="41"/>
      <x:c r="Q161" s="41"/>
      <x:c r="R161" s="41"/>
      <x:c r="S161" s="41"/>
    </x:row>
    <x:row r="162" ht="31" customHeight="1">
      <x:c r="A162" s="41"/>
      <x:c r="B162" s="48"/>
      <x:c r="C162" s="41"/>
      <x:c r="D162" s="42" t="str">
        <x:f>IF(C162="","",IFERROR(VLOOKUP(C162,'الطلبات'!$A$7:$D$206,4,FALSE),""))</x:f>
      </x:c>
      <x:c r="E162" s="41"/>
      <x:c r="F162" s="41"/>
      <x:c r="G162" s="52"/>
      <x:c r="H162" s="52"/>
      <x:c r="I162" s="52"/>
      <x:c r="J162" s="52"/>
      <x:c r="K162" s="52"/>
      <x:c r="L162" s="41"/>
      <x:c r="M162" s="52"/>
      <x:c r="N162" s="41"/>
      <x:c r="O162" s="41"/>
      <x:c r="P162" s="41"/>
      <x:c r="Q162" s="41"/>
      <x:c r="R162" s="41"/>
      <x:c r="S162" s="41"/>
    </x:row>
    <x:row r="163" ht="31" customHeight="1">
      <x:c r="A163" s="41"/>
      <x:c r="B163" s="48"/>
      <x:c r="C163" s="41"/>
      <x:c r="D163" s="42" t="str">
        <x:f>IF(C163="","",IFERROR(VLOOKUP(C163,'الطلبات'!$A$7:$D$206,4,FALSE),""))</x:f>
      </x:c>
      <x:c r="E163" s="41"/>
      <x:c r="F163" s="41"/>
      <x:c r="G163" s="52"/>
      <x:c r="H163" s="52"/>
      <x:c r="I163" s="52"/>
      <x:c r="J163" s="52"/>
      <x:c r="K163" s="52"/>
      <x:c r="L163" s="41"/>
      <x:c r="M163" s="52"/>
      <x:c r="N163" s="41"/>
      <x:c r="O163" s="41"/>
      <x:c r="P163" s="41"/>
      <x:c r="Q163" s="41"/>
      <x:c r="R163" s="41"/>
      <x:c r="S163" s="41"/>
    </x:row>
    <x:row r="164" ht="31" customHeight="1">
      <x:c r="A164" s="41"/>
      <x:c r="B164" s="48"/>
      <x:c r="C164" s="41"/>
      <x:c r="D164" s="42" t="str">
        <x:f>IF(C164="","",IFERROR(VLOOKUP(C164,'الطلبات'!$A$7:$D$206,4,FALSE),""))</x:f>
      </x:c>
      <x:c r="E164" s="41"/>
      <x:c r="F164" s="41"/>
      <x:c r="G164" s="52"/>
      <x:c r="H164" s="52"/>
      <x:c r="I164" s="52"/>
      <x:c r="J164" s="52"/>
      <x:c r="K164" s="52"/>
      <x:c r="L164" s="41"/>
      <x:c r="M164" s="52"/>
      <x:c r="N164" s="41"/>
      <x:c r="O164" s="41"/>
      <x:c r="P164" s="41"/>
      <x:c r="Q164" s="41"/>
      <x:c r="R164" s="41"/>
      <x:c r="S164" s="41"/>
    </x:row>
    <x:row r="165" ht="31" customHeight="1">
      <x:c r="A165" s="41"/>
      <x:c r="B165" s="48"/>
      <x:c r="C165" s="41"/>
      <x:c r="D165" s="42" t="str">
        <x:f>IF(C165="","",IFERROR(VLOOKUP(C165,'الطلبات'!$A$7:$D$206,4,FALSE),""))</x:f>
      </x:c>
      <x:c r="E165" s="41"/>
      <x:c r="F165" s="41"/>
      <x:c r="G165" s="52"/>
      <x:c r="H165" s="52"/>
      <x:c r="I165" s="52"/>
      <x:c r="J165" s="52"/>
      <x:c r="K165" s="52"/>
      <x:c r="L165" s="41"/>
      <x:c r="M165" s="52"/>
      <x:c r="N165" s="41"/>
      <x:c r="O165" s="41"/>
      <x:c r="P165" s="41"/>
      <x:c r="Q165" s="41"/>
      <x:c r="R165" s="41"/>
      <x:c r="S165" s="41"/>
    </x:row>
    <x:row r="166" ht="31" customHeight="1">
      <x:c r="A166" s="41"/>
      <x:c r="B166" s="48"/>
      <x:c r="C166" s="41"/>
      <x:c r="D166" s="42" t="str">
        <x:f>IF(C166="","",IFERROR(VLOOKUP(C166,'الطلبات'!$A$7:$D$206,4,FALSE),""))</x:f>
      </x:c>
      <x:c r="E166" s="41"/>
      <x:c r="F166" s="41"/>
      <x:c r="G166" s="52"/>
      <x:c r="H166" s="52"/>
      <x:c r="I166" s="52"/>
      <x:c r="J166" s="52"/>
      <x:c r="K166" s="52"/>
      <x:c r="L166" s="41"/>
      <x:c r="M166" s="52"/>
      <x:c r="N166" s="41"/>
      <x:c r="O166" s="41"/>
      <x:c r="P166" s="41"/>
      <x:c r="Q166" s="41"/>
      <x:c r="R166" s="41"/>
      <x:c r="S166" s="41"/>
    </x:row>
    <x:row r="167" ht="31" customHeight="1">
      <x:c r="A167" s="41"/>
      <x:c r="B167" s="48"/>
      <x:c r="C167" s="41"/>
      <x:c r="D167" s="42" t="str">
        <x:f>IF(C167="","",IFERROR(VLOOKUP(C167,'الطلبات'!$A$7:$D$206,4,FALSE),""))</x:f>
      </x:c>
      <x:c r="E167" s="41"/>
      <x:c r="F167" s="41"/>
      <x:c r="G167" s="52"/>
      <x:c r="H167" s="52"/>
      <x:c r="I167" s="52"/>
      <x:c r="J167" s="52"/>
      <x:c r="K167" s="52"/>
      <x:c r="L167" s="41"/>
      <x:c r="M167" s="52"/>
      <x:c r="N167" s="41"/>
      <x:c r="O167" s="41"/>
      <x:c r="P167" s="41"/>
      <x:c r="Q167" s="41"/>
      <x:c r="R167" s="41"/>
      <x:c r="S167" s="41"/>
    </x:row>
    <x:row r="168" ht="31" customHeight="1">
      <x:c r="A168" s="41"/>
      <x:c r="B168" s="48"/>
      <x:c r="C168" s="41"/>
      <x:c r="D168" s="42" t="str">
        <x:f>IF(C168="","",IFERROR(VLOOKUP(C168,'الطلبات'!$A$7:$D$206,4,FALSE),""))</x:f>
      </x:c>
      <x:c r="E168" s="41"/>
      <x:c r="F168" s="41"/>
      <x:c r="G168" s="52"/>
      <x:c r="H168" s="52"/>
      <x:c r="I168" s="52"/>
      <x:c r="J168" s="52"/>
      <x:c r="K168" s="52"/>
      <x:c r="L168" s="41"/>
      <x:c r="M168" s="52"/>
      <x:c r="N168" s="41"/>
      <x:c r="O168" s="41"/>
      <x:c r="P168" s="41"/>
      <x:c r="Q168" s="41"/>
      <x:c r="R168" s="41"/>
      <x:c r="S168" s="41"/>
    </x:row>
    <x:row r="169" ht="31" customHeight="1">
      <x:c r="A169" s="41"/>
      <x:c r="B169" s="48"/>
      <x:c r="C169" s="41"/>
      <x:c r="D169" s="42" t="str">
        <x:f>IF(C169="","",IFERROR(VLOOKUP(C169,'الطلبات'!$A$7:$D$206,4,FALSE),""))</x:f>
      </x:c>
      <x:c r="E169" s="41"/>
      <x:c r="F169" s="41"/>
      <x:c r="G169" s="52"/>
      <x:c r="H169" s="52"/>
      <x:c r="I169" s="52"/>
      <x:c r="J169" s="52"/>
      <x:c r="K169" s="52"/>
      <x:c r="L169" s="41"/>
      <x:c r="M169" s="52"/>
      <x:c r="N169" s="41"/>
      <x:c r="O169" s="41"/>
      <x:c r="P169" s="41"/>
      <x:c r="Q169" s="41"/>
      <x:c r="R169" s="41"/>
      <x:c r="S169" s="41"/>
    </x:row>
    <x:row r="170" ht="31" customHeight="1">
      <x:c r="A170" s="41"/>
      <x:c r="B170" s="48"/>
      <x:c r="C170" s="41"/>
      <x:c r="D170" s="42" t="str">
        <x:f>IF(C170="","",IFERROR(VLOOKUP(C170,'الطلبات'!$A$7:$D$206,4,FALSE),""))</x:f>
      </x:c>
      <x:c r="E170" s="41"/>
      <x:c r="F170" s="41"/>
      <x:c r="G170" s="52"/>
      <x:c r="H170" s="52"/>
      <x:c r="I170" s="52"/>
      <x:c r="J170" s="52"/>
      <x:c r="K170" s="52"/>
      <x:c r="L170" s="41"/>
      <x:c r="M170" s="52"/>
      <x:c r="N170" s="41"/>
      <x:c r="O170" s="41"/>
      <x:c r="P170" s="41"/>
      <x:c r="Q170" s="41"/>
      <x:c r="R170" s="41"/>
      <x:c r="S170" s="41"/>
    </x:row>
    <x:row r="171" ht="31" customHeight="1">
      <x:c r="A171" s="41"/>
      <x:c r="B171" s="48"/>
      <x:c r="C171" s="41"/>
      <x:c r="D171" s="42" t="str">
        <x:f>IF(C171="","",IFERROR(VLOOKUP(C171,'الطلبات'!$A$7:$D$206,4,FALSE),""))</x:f>
      </x:c>
      <x:c r="E171" s="41"/>
      <x:c r="F171" s="41"/>
      <x:c r="G171" s="52"/>
      <x:c r="H171" s="52"/>
      <x:c r="I171" s="52"/>
      <x:c r="J171" s="52"/>
      <x:c r="K171" s="52"/>
      <x:c r="L171" s="41"/>
      <x:c r="M171" s="52"/>
      <x:c r="N171" s="41"/>
      <x:c r="O171" s="41"/>
      <x:c r="P171" s="41"/>
      <x:c r="Q171" s="41"/>
      <x:c r="R171" s="41"/>
      <x:c r="S171" s="41"/>
    </x:row>
    <x:row r="172" ht="31" customHeight="1">
      <x:c r="A172" s="41"/>
      <x:c r="B172" s="48"/>
      <x:c r="C172" s="41"/>
      <x:c r="D172" s="42" t="str">
        <x:f>IF(C172="","",IFERROR(VLOOKUP(C172,'الطلبات'!$A$7:$D$206,4,FALSE),""))</x:f>
      </x:c>
      <x:c r="E172" s="41"/>
      <x:c r="F172" s="41"/>
      <x:c r="G172" s="52"/>
      <x:c r="H172" s="52"/>
      <x:c r="I172" s="52"/>
      <x:c r="J172" s="52"/>
      <x:c r="K172" s="52"/>
      <x:c r="L172" s="41"/>
      <x:c r="M172" s="52"/>
      <x:c r="N172" s="41"/>
      <x:c r="O172" s="41"/>
      <x:c r="P172" s="41"/>
      <x:c r="Q172" s="41"/>
      <x:c r="R172" s="41"/>
      <x:c r="S172" s="41"/>
    </x:row>
    <x:row r="173" ht="31" customHeight="1">
      <x:c r="A173" s="41"/>
      <x:c r="B173" s="48"/>
      <x:c r="C173" s="41"/>
      <x:c r="D173" s="42" t="str">
        <x:f>IF(C173="","",IFERROR(VLOOKUP(C173,'الطلبات'!$A$7:$D$206,4,FALSE),""))</x:f>
      </x:c>
      <x:c r="E173" s="41"/>
      <x:c r="F173" s="41"/>
      <x:c r="G173" s="52"/>
      <x:c r="H173" s="52"/>
      <x:c r="I173" s="52"/>
      <x:c r="J173" s="52"/>
      <x:c r="K173" s="52"/>
      <x:c r="L173" s="41"/>
      <x:c r="M173" s="52"/>
      <x:c r="N173" s="41"/>
      <x:c r="O173" s="41"/>
      <x:c r="P173" s="41"/>
      <x:c r="Q173" s="41"/>
      <x:c r="R173" s="41"/>
      <x:c r="S173" s="41"/>
    </x:row>
    <x:row r="174" ht="31" customHeight="1">
      <x:c r="A174" s="41"/>
      <x:c r="B174" s="48"/>
      <x:c r="C174" s="41"/>
      <x:c r="D174" s="42" t="str">
        <x:f>IF(C174="","",IFERROR(VLOOKUP(C174,'الطلبات'!$A$7:$D$206,4,FALSE),""))</x:f>
      </x:c>
      <x:c r="E174" s="41"/>
      <x:c r="F174" s="41"/>
      <x:c r="G174" s="52"/>
      <x:c r="H174" s="52"/>
      <x:c r="I174" s="52"/>
      <x:c r="J174" s="52"/>
      <x:c r="K174" s="52"/>
      <x:c r="L174" s="41"/>
      <x:c r="M174" s="52"/>
      <x:c r="N174" s="41"/>
      <x:c r="O174" s="41"/>
      <x:c r="P174" s="41"/>
      <x:c r="Q174" s="41"/>
      <x:c r="R174" s="41"/>
      <x:c r="S174" s="41"/>
    </x:row>
    <x:row r="175" ht="31" customHeight="1">
      <x:c r="A175" s="41"/>
      <x:c r="B175" s="48"/>
      <x:c r="C175" s="41"/>
      <x:c r="D175" s="42" t="str">
        <x:f>IF(C175="","",IFERROR(VLOOKUP(C175,'الطلبات'!$A$7:$D$206,4,FALSE),""))</x:f>
      </x:c>
      <x:c r="E175" s="41"/>
      <x:c r="F175" s="41"/>
      <x:c r="G175" s="52"/>
      <x:c r="H175" s="52"/>
      <x:c r="I175" s="52"/>
      <x:c r="J175" s="52"/>
      <x:c r="K175" s="52"/>
      <x:c r="L175" s="41"/>
      <x:c r="M175" s="52"/>
      <x:c r="N175" s="41"/>
      <x:c r="O175" s="41"/>
      <x:c r="P175" s="41"/>
      <x:c r="Q175" s="41"/>
      <x:c r="R175" s="41"/>
      <x:c r="S175" s="41"/>
    </x:row>
    <x:row r="176" ht="31" customHeight="1">
      <x:c r="A176" s="41"/>
      <x:c r="B176" s="48"/>
      <x:c r="C176" s="41"/>
      <x:c r="D176" s="42" t="str">
        <x:f>IF(C176="","",IFERROR(VLOOKUP(C176,'الطلبات'!$A$7:$D$206,4,FALSE),""))</x:f>
      </x:c>
      <x:c r="E176" s="41"/>
      <x:c r="F176" s="41"/>
      <x:c r="G176" s="52"/>
      <x:c r="H176" s="52"/>
      <x:c r="I176" s="52"/>
      <x:c r="J176" s="52"/>
      <x:c r="K176" s="52"/>
      <x:c r="L176" s="41"/>
      <x:c r="M176" s="52"/>
      <x:c r="N176" s="41"/>
      <x:c r="O176" s="41"/>
      <x:c r="P176" s="41"/>
      <x:c r="Q176" s="41"/>
      <x:c r="R176" s="41"/>
      <x:c r="S176" s="41"/>
    </x:row>
    <x:row r="177" ht="31" customHeight="1">
      <x:c r="A177" s="41"/>
      <x:c r="B177" s="48"/>
      <x:c r="C177" s="41"/>
      <x:c r="D177" s="42" t="str">
        <x:f>IF(C177="","",IFERROR(VLOOKUP(C177,'الطلبات'!$A$7:$D$206,4,FALSE),""))</x:f>
      </x:c>
      <x:c r="E177" s="41"/>
      <x:c r="F177" s="41"/>
      <x:c r="G177" s="52"/>
      <x:c r="H177" s="52"/>
      <x:c r="I177" s="52"/>
      <x:c r="J177" s="52"/>
      <x:c r="K177" s="52"/>
      <x:c r="L177" s="41"/>
      <x:c r="M177" s="52"/>
      <x:c r="N177" s="41"/>
      <x:c r="O177" s="41"/>
      <x:c r="P177" s="41"/>
      <x:c r="Q177" s="41"/>
      <x:c r="R177" s="41"/>
      <x:c r="S177" s="41"/>
    </x:row>
    <x:row r="178" ht="31" customHeight="1">
      <x:c r="A178" s="41"/>
      <x:c r="B178" s="48"/>
      <x:c r="C178" s="41"/>
      <x:c r="D178" s="42" t="str">
        <x:f>IF(C178="","",IFERROR(VLOOKUP(C178,'الطلبات'!$A$7:$D$206,4,FALSE),""))</x:f>
      </x:c>
      <x:c r="E178" s="41"/>
      <x:c r="F178" s="41"/>
      <x:c r="G178" s="52"/>
      <x:c r="H178" s="52"/>
      <x:c r="I178" s="52"/>
      <x:c r="J178" s="52"/>
      <x:c r="K178" s="52"/>
      <x:c r="L178" s="41"/>
      <x:c r="M178" s="52"/>
      <x:c r="N178" s="41"/>
      <x:c r="O178" s="41"/>
      <x:c r="P178" s="41"/>
      <x:c r="Q178" s="41"/>
      <x:c r="R178" s="41"/>
      <x:c r="S178" s="41"/>
    </x:row>
    <x:row r="179" ht="31" customHeight="1">
      <x:c r="A179" s="41"/>
      <x:c r="B179" s="48"/>
      <x:c r="C179" s="41"/>
      <x:c r="D179" s="42" t="str">
        <x:f>IF(C179="","",IFERROR(VLOOKUP(C179,'الطلبات'!$A$7:$D$206,4,FALSE),""))</x:f>
      </x:c>
      <x:c r="E179" s="41"/>
      <x:c r="F179" s="41"/>
      <x:c r="G179" s="52"/>
      <x:c r="H179" s="52"/>
      <x:c r="I179" s="52"/>
      <x:c r="J179" s="52"/>
      <x:c r="K179" s="52"/>
      <x:c r="L179" s="41"/>
      <x:c r="M179" s="52"/>
      <x:c r="N179" s="41"/>
      <x:c r="O179" s="41"/>
      <x:c r="P179" s="41"/>
      <x:c r="Q179" s="41"/>
      <x:c r="R179" s="41"/>
      <x:c r="S179" s="41"/>
    </x:row>
    <x:row r="180" ht="31" customHeight="1">
      <x:c r="A180" s="41"/>
      <x:c r="B180" s="48"/>
      <x:c r="C180" s="41"/>
      <x:c r="D180" s="42" t="str">
        <x:f>IF(C180="","",IFERROR(VLOOKUP(C180,'الطلبات'!$A$7:$D$206,4,FALSE),""))</x:f>
      </x:c>
      <x:c r="E180" s="41"/>
      <x:c r="F180" s="41"/>
      <x:c r="G180" s="52"/>
      <x:c r="H180" s="52"/>
      <x:c r="I180" s="52"/>
      <x:c r="J180" s="52"/>
      <x:c r="K180" s="52"/>
      <x:c r="L180" s="41"/>
      <x:c r="M180" s="52"/>
      <x:c r="N180" s="41"/>
      <x:c r="O180" s="41"/>
      <x:c r="P180" s="41"/>
      <x:c r="Q180" s="41"/>
      <x:c r="R180" s="41"/>
      <x:c r="S180" s="41"/>
    </x:row>
    <x:row r="181" ht="31" customHeight="1">
      <x:c r="A181" s="41"/>
      <x:c r="B181" s="48"/>
      <x:c r="C181" s="41"/>
      <x:c r="D181" s="42" t="str">
        <x:f>IF(C181="","",IFERROR(VLOOKUP(C181,'الطلبات'!$A$7:$D$206,4,FALSE),""))</x:f>
      </x:c>
      <x:c r="E181" s="41"/>
      <x:c r="F181" s="41"/>
      <x:c r="G181" s="52"/>
      <x:c r="H181" s="52"/>
      <x:c r="I181" s="52"/>
      <x:c r="J181" s="52"/>
      <x:c r="K181" s="52"/>
      <x:c r="L181" s="41"/>
      <x:c r="M181" s="52"/>
      <x:c r="N181" s="41"/>
      <x:c r="O181" s="41"/>
      <x:c r="P181" s="41"/>
      <x:c r="Q181" s="41"/>
      <x:c r="R181" s="41"/>
      <x:c r="S181" s="41"/>
    </x:row>
    <x:row r="182" ht="31" customHeight="1">
      <x:c r="A182" s="41"/>
      <x:c r="B182" s="48"/>
      <x:c r="C182" s="41"/>
      <x:c r="D182" s="42" t="str">
        <x:f>IF(C182="","",IFERROR(VLOOKUP(C182,'الطلبات'!$A$7:$D$206,4,FALSE),""))</x:f>
      </x:c>
      <x:c r="E182" s="41"/>
      <x:c r="F182" s="41"/>
      <x:c r="G182" s="52"/>
      <x:c r="H182" s="52"/>
      <x:c r="I182" s="52"/>
      <x:c r="J182" s="52"/>
      <x:c r="K182" s="52"/>
      <x:c r="L182" s="41"/>
      <x:c r="M182" s="52"/>
      <x:c r="N182" s="41"/>
      <x:c r="O182" s="41"/>
      <x:c r="P182" s="41"/>
      <x:c r="Q182" s="41"/>
      <x:c r="R182" s="41"/>
      <x:c r="S182" s="41"/>
    </x:row>
    <x:row r="183" ht="31" customHeight="1">
      <x:c r="A183" s="41"/>
      <x:c r="B183" s="48"/>
      <x:c r="C183" s="41"/>
      <x:c r="D183" s="42" t="str">
        <x:f>IF(C183="","",IFERROR(VLOOKUP(C183,'الطلبات'!$A$7:$D$206,4,FALSE),""))</x:f>
      </x:c>
      <x:c r="E183" s="41"/>
      <x:c r="F183" s="41"/>
      <x:c r="G183" s="52"/>
      <x:c r="H183" s="52"/>
      <x:c r="I183" s="52"/>
      <x:c r="J183" s="52"/>
      <x:c r="K183" s="52"/>
      <x:c r="L183" s="41"/>
      <x:c r="M183" s="52"/>
      <x:c r="N183" s="41"/>
      <x:c r="O183" s="41"/>
      <x:c r="P183" s="41"/>
      <x:c r="Q183" s="41"/>
      <x:c r="R183" s="41"/>
      <x:c r="S183" s="41"/>
    </x:row>
    <x:row r="184" ht="31" customHeight="1">
      <x:c r="A184" s="41"/>
      <x:c r="B184" s="48"/>
      <x:c r="C184" s="41"/>
      <x:c r="D184" s="42" t="str">
        <x:f>IF(C184="","",IFERROR(VLOOKUP(C184,'الطلبات'!$A$7:$D$206,4,FALSE),""))</x:f>
      </x:c>
      <x:c r="E184" s="41"/>
      <x:c r="F184" s="41"/>
      <x:c r="G184" s="52"/>
      <x:c r="H184" s="52"/>
      <x:c r="I184" s="52"/>
      <x:c r="J184" s="52"/>
      <x:c r="K184" s="52"/>
      <x:c r="L184" s="41"/>
      <x:c r="M184" s="52"/>
      <x:c r="N184" s="41"/>
      <x:c r="O184" s="41"/>
      <x:c r="P184" s="41"/>
      <x:c r="Q184" s="41"/>
      <x:c r="R184" s="41"/>
      <x:c r="S184" s="41"/>
    </x:row>
    <x:row r="185" ht="31" customHeight="1">
      <x:c r="A185" s="41"/>
      <x:c r="B185" s="48"/>
      <x:c r="C185" s="41"/>
      <x:c r="D185" s="42" t="str">
        <x:f>IF(C185="","",IFERROR(VLOOKUP(C185,'الطلبات'!$A$7:$D$206,4,FALSE),""))</x:f>
      </x:c>
      <x:c r="E185" s="41"/>
      <x:c r="F185" s="41"/>
      <x:c r="G185" s="52"/>
      <x:c r="H185" s="52"/>
      <x:c r="I185" s="52"/>
      <x:c r="J185" s="52"/>
      <x:c r="K185" s="52"/>
      <x:c r="L185" s="41"/>
      <x:c r="M185" s="52"/>
      <x:c r="N185" s="41"/>
      <x:c r="O185" s="41"/>
      <x:c r="P185" s="41"/>
      <x:c r="Q185" s="41"/>
      <x:c r="R185" s="41"/>
      <x:c r="S185" s="41"/>
    </x:row>
    <x:row r="186" ht="31" customHeight="1">
      <x:c r="A186" s="41"/>
      <x:c r="B186" s="48"/>
      <x:c r="C186" s="41"/>
      <x:c r="D186" s="42" t="str">
        <x:f>IF(C186="","",IFERROR(VLOOKUP(C186,'الطلبات'!$A$7:$D$206,4,FALSE),""))</x:f>
      </x:c>
      <x:c r="E186" s="41"/>
      <x:c r="F186" s="41"/>
      <x:c r="G186" s="52"/>
      <x:c r="H186" s="52"/>
      <x:c r="I186" s="52"/>
      <x:c r="J186" s="52"/>
      <x:c r="K186" s="52"/>
      <x:c r="L186" s="41"/>
      <x:c r="M186" s="52"/>
      <x:c r="N186" s="41"/>
      <x:c r="O186" s="41"/>
      <x:c r="P186" s="41"/>
      <x:c r="Q186" s="41"/>
      <x:c r="R186" s="41"/>
      <x:c r="S186" s="41"/>
    </x:row>
    <x:row r="187" ht="31" customHeight="1">
      <x:c r="A187" s="41"/>
      <x:c r="B187" s="48"/>
      <x:c r="C187" s="41"/>
      <x:c r="D187" s="42" t="str">
        <x:f>IF(C187="","",IFERROR(VLOOKUP(C187,'الطلبات'!$A$7:$D$206,4,FALSE),""))</x:f>
      </x:c>
      <x:c r="E187" s="41"/>
      <x:c r="F187" s="41"/>
      <x:c r="G187" s="52"/>
      <x:c r="H187" s="52"/>
      <x:c r="I187" s="52"/>
      <x:c r="J187" s="52"/>
      <x:c r="K187" s="52"/>
      <x:c r="L187" s="41"/>
      <x:c r="M187" s="52"/>
      <x:c r="N187" s="41"/>
      <x:c r="O187" s="41"/>
      <x:c r="P187" s="41"/>
      <x:c r="Q187" s="41"/>
      <x:c r="R187" s="41"/>
      <x:c r="S187" s="41"/>
    </x:row>
    <x:row r="188" ht="31" customHeight="1">
      <x:c r="A188" s="41"/>
      <x:c r="B188" s="48"/>
      <x:c r="C188" s="41"/>
      <x:c r="D188" s="42" t="str">
        <x:f>IF(C188="","",IFERROR(VLOOKUP(C188,'الطلبات'!$A$7:$D$206,4,FALSE),""))</x:f>
      </x:c>
      <x:c r="E188" s="41"/>
      <x:c r="F188" s="41"/>
      <x:c r="G188" s="52"/>
      <x:c r="H188" s="52"/>
      <x:c r="I188" s="52"/>
      <x:c r="J188" s="52"/>
      <x:c r="K188" s="52"/>
      <x:c r="L188" s="41"/>
      <x:c r="M188" s="52"/>
      <x:c r="N188" s="41"/>
      <x:c r="O188" s="41"/>
      <x:c r="P188" s="41"/>
      <x:c r="Q188" s="41"/>
      <x:c r="R188" s="41"/>
      <x:c r="S188" s="41"/>
    </x:row>
    <x:row r="189" ht="31" customHeight="1">
      <x:c r="A189" s="41"/>
      <x:c r="B189" s="48"/>
      <x:c r="C189" s="41"/>
      <x:c r="D189" s="42" t="str">
        <x:f>IF(C189="","",IFERROR(VLOOKUP(C189,'الطلبات'!$A$7:$D$206,4,FALSE),""))</x:f>
      </x:c>
      <x:c r="E189" s="41"/>
      <x:c r="F189" s="41"/>
      <x:c r="G189" s="52"/>
      <x:c r="H189" s="52"/>
      <x:c r="I189" s="52"/>
      <x:c r="J189" s="52"/>
      <x:c r="K189" s="52"/>
      <x:c r="L189" s="41"/>
      <x:c r="M189" s="52"/>
      <x:c r="N189" s="41"/>
      <x:c r="O189" s="41"/>
      <x:c r="P189" s="41"/>
      <x:c r="Q189" s="41"/>
      <x:c r="R189" s="41"/>
      <x:c r="S189" s="41"/>
    </x:row>
    <x:row r="190" ht="31" customHeight="1">
      <x:c r="A190" s="41"/>
      <x:c r="B190" s="48"/>
      <x:c r="C190" s="41"/>
      <x:c r="D190" s="42" t="str">
        <x:f>IF(C190="","",IFERROR(VLOOKUP(C190,'الطلبات'!$A$7:$D$206,4,FALSE),""))</x:f>
      </x:c>
      <x:c r="E190" s="41"/>
      <x:c r="F190" s="41"/>
      <x:c r="G190" s="52"/>
      <x:c r="H190" s="52"/>
      <x:c r="I190" s="52"/>
      <x:c r="J190" s="52"/>
      <x:c r="K190" s="52"/>
      <x:c r="L190" s="41"/>
      <x:c r="M190" s="52"/>
      <x:c r="N190" s="41"/>
      <x:c r="O190" s="41"/>
      <x:c r="P190" s="41"/>
      <x:c r="Q190" s="41"/>
      <x:c r="R190" s="41"/>
      <x:c r="S190" s="41"/>
    </x:row>
    <x:row r="191" ht="31" customHeight="1">
      <x:c r="A191" s="41"/>
      <x:c r="B191" s="48"/>
      <x:c r="C191" s="41"/>
      <x:c r="D191" s="42" t="str">
        <x:f>IF(C191="","",IFERROR(VLOOKUP(C191,'الطلبات'!$A$7:$D$206,4,FALSE),""))</x:f>
      </x:c>
      <x:c r="E191" s="41"/>
      <x:c r="F191" s="41"/>
      <x:c r="G191" s="52"/>
      <x:c r="H191" s="52"/>
      <x:c r="I191" s="52"/>
      <x:c r="J191" s="52"/>
      <x:c r="K191" s="52"/>
      <x:c r="L191" s="41"/>
      <x:c r="M191" s="52"/>
      <x:c r="N191" s="41"/>
      <x:c r="O191" s="41"/>
      <x:c r="P191" s="41"/>
      <x:c r="Q191" s="41"/>
      <x:c r="R191" s="41"/>
      <x:c r="S191" s="41"/>
    </x:row>
    <x:row r="192" ht="31" customHeight="1">
      <x:c r="A192" s="41"/>
      <x:c r="B192" s="48"/>
      <x:c r="C192" s="41"/>
      <x:c r="D192" s="42" t="str">
        <x:f>IF(C192="","",IFERROR(VLOOKUP(C192,'الطلبات'!$A$7:$D$206,4,FALSE),""))</x:f>
      </x:c>
      <x:c r="E192" s="41"/>
      <x:c r="F192" s="41"/>
      <x:c r="G192" s="52"/>
      <x:c r="H192" s="52"/>
      <x:c r="I192" s="52"/>
      <x:c r="J192" s="52"/>
      <x:c r="K192" s="52"/>
      <x:c r="L192" s="41"/>
      <x:c r="M192" s="52"/>
      <x:c r="N192" s="41"/>
      <x:c r="O192" s="41"/>
      <x:c r="P192" s="41"/>
      <x:c r="Q192" s="41"/>
      <x:c r="R192" s="41"/>
      <x:c r="S192" s="41"/>
    </x:row>
    <x:row r="193" ht="31" customHeight="1">
      <x:c r="A193" s="41"/>
      <x:c r="B193" s="48"/>
      <x:c r="C193" s="41"/>
      <x:c r="D193" s="42" t="str">
        <x:f>IF(C193="","",IFERROR(VLOOKUP(C193,'الطلبات'!$A$7:$D$206,4,FALSE),""))</x:f>
      </x:c>
      <x:c r="E193" s="41"/>
      <x:c r="F193" s="41"/>
      <x:c r="G193" s="52"/>
      <x:c r="H193" s="52"/>
      <x:c r="I193" s="52"/>
      <x:c r="J193" s="52"/>
      <x:c r="K193" s="52"/>
      <x:c r="L193" s="41"/>
      <x:c r="M193" s="52"/>
      <x:c r="N193" s="41"/>
      <x:c r="O193" s="41"/>
      <x:c r="P193" s="41"/>
      <x:c r="Q193" s="41"/>
      <x:c r="R193" s="41"/>
      <x:c r="S193" s="41"/>
    </x:row>
    <x:row r="194" ht="31" customHeight="1">
      <x:c r="A194" s="41"/>
      <x:c r="B194" s="48"/>
      <x:c r="C194" s="41"/>
      <x:c r="D194" s="42" t="str">
        <x:f>IF(C194="","",IFERROR(VLOOKUP(C194,'الطلبات'!$A$7:$D$206,4,FALSE),""))</x:f>
      </x:c>
      <x:c r="E194" s="41"/>
      <x:c r="F194" s="41"/>
      <x:c r="G194" s="52"/>
      <x:c r="H194" s="52"/>
      <x:c r="I194" s="52"/>
      <x:c r="J194" s="52"/>
      <x:c r="K194" s="52"/>
      <x:c r="L194" s="41"/>
      <x:c r="M194" s="52"/>
      <x:c r="N194" s="41"/>
      <x:c r="O194" s="41"/>
      <x:c r="P194" s="41"/>
      <x:c r="Q194" s="41"/>
      <x:c r="R194" s="41"/>
      <x:c r="S194" s="41"/>
    </x:row>
    <x:row r="195" ht="31" customHeight="1">
      <x:c r="A195" s="41"/>
      <x:c r="B195" s="48"/>
      <x:c r="C195" s="41"/>
      <x:c r="D195" s="42" t="str">
        <x:f>IF(C195="","",IFERROR(VLOOKUP(C195,'الطلبات'!$A$7:$D$206,4,FALSE),""))</x:f>
      </x:c>
      <x:c r="E195" s="41"/>
      <x:c r="F195" s="41"/>
      <x:c r="G195" s="52"/>
      <x:c r="H195" s="52"/>
      <x:c r="I195" s="52"/>
      <x:c r="J195" s="52"/>
      <x:c r="K195" s="52"/>
      <x:c r="L195" s="41"/>
      <x:c r="M195" s="52"/>
      <x:c r="N195" s="41"/>
      <x:c r="O195" s="41"/>
      <x:c r="P195" s="41"/>
      <x:c r="Q195" s="41"/>
      <x:c r="R195" s="41"/>
      <x:c r="S195" s="41"/>
    </x:row>
    <x:row r="196" ht="31" customHeight="1">
      <x:c r="A196" s="41"/>
      <x:c r="B196" s="48"/>
      <x:c r="C196" s="41"/>
      <x:c r="D196" s="42" t="str">
        <x:f>IF(C196="","",IFERROR(VLOOKUP(C196,'الطلبات'!$A$7:$D$206,4,FALSE),""))</x:f>
      </x:c>
      <x:c r="E196" s="41"/>
      <x:c r="F196" s="41"/>
      <x:c r="G196" s="52"/>
      <x:c r="H196" s="52"/>
      <x:c r="I196" s="52"/>
      <x:c r="J196" s="52"/>
      <x:c r="K196" s="52"/>
      <x:c r="L196" s="41"/>
      <x:c r="M196" s="52"/>
      <x:c r="N196" s="41"/>
      <x:c r="O196" s="41"/>
      <x:c r="P196" s="41"/>
      <x:c r="Q196" s="41"/>
      <x:c r="R196" s="41"/>
      <x:c r="S196" s="41"/>
    </x:row>
    <x:row r="197" ht="31" customHeight="1">
      <x:c r="A197" s="41"/>
      <x:c r="B197" s="48"/>
      <x:c r="C197" s="41"/>
      <x:c r="D197" s="42" t="str">
        <x:f>IF(C197="","",IFERROR(VLOOKUP(C197,'الطلبات'!$A$7:$D$206,4,FALSE),""))</x:f>
      </x:c>
      <x:c r="E197" s="41"/>
      <x:c r="F197" s="41"/>
      <x:c r="G197" s="52"/>
      <x:c r="H197" s="52"/>
      <x:c r="I197" s="52"/>
      <x:c r="J197" s="52"/>
      <x:c r="K197" s="52"/>
      <x:c r="L197" s="41"/>
      <x:c r="M197" s="52"/>
      <x:c r="N197" s="41"/>
      <x:c r="O197" s="41"/>
      <x:c r="P197" s="41"/>
      <x:c r="Q197" s="41"/>
      <x:c r="R197" s="41"/>
      <x:c r="S197" s="41"/>
    </x:row>
    <x:row r="198" ht="31" customHeight="1">
      <x:c r="A198" s="41"/>
      <x:c r="B198" s="48"/>
      <x:c r="C198" s="41"/>
      <x:c r="D198" s="42" t="str">
        <x:f>IF(C198="","",IFERROR(VLOOKUP(C198,'الطلبات'!$A$7:$D$206,4,FALSE),""))</x:f>
      </x:c>
      <x:c r="E198" s="41"/>
      <x:c r="F198" s="41"/>
      <x:c r="G198" s="52"/>
      <x:c r="H198" s="52"/>
      <x:c r="I198" s="52"/>
      <x:c r="J198" s="52"/>
      <x:c r="K198" s="52"/>
      <x:c r="L198" s="41"/>
      <x:c r="M198" s="52"/>
      <x:c r="N198" s="41"/>
      <x:c r="O198" s="41"/>
      <x:c r="P198" s="41"/>
      <x:c r="Q198" s="41"/>
      <x:c r="R198" s="41"/>
      <x:c r="S198" s="41"/>
    </x:row>
    <x:row r="199" ht="31" customHeight="1">
      <x:c r="A199" s="41"/>
      <x:c r="B199" s="48"/>
      <x:c r="C199" s="41"/>
      <x:c r="D199" s="42" t="str">
        <x:f>IF(C199="","",IFERROR(VLOOKUP(C199,'الطلبات'!$A$7:$D$206,4,FALSE),""))</x:f>
      </x:c>
      <x:c r="E199" s="41"/>
      <x:c r="F199" s="41"/>
      <x:c r="G199" s="52"/>
      <x:c r="H199" s="52"/>
      <x:c r="I199" s="52"/>
      <x:c r="J199" s="52"/>
      <x:c r="K199" s="52"/>
      <x:c r="L199" s="41"/>
      <x:c r="M199" s="52"/>
      <x:c r="N199" s="41"/>
      <x:c r="O199" s="41"/>
      <x:c r="P199" s="41"/>
      <x:c r="Q199" s="41"/>
      <x:c r="R199" s="41"/>
      <x:c r="S199" s="41"/>
    </x:row>
    <x:row r="200" ht="31" customHeight="1">
      <x:c r="A200" s="41"/>
      <x:c r="B200" s="48"/>
      <x:c r="C200" s="41"/>
      <x:c r="D200" s="42" t="str">
        <x:f>IF(C200="","",IFERROR(VLOOKUP(C200,'الطلبات'!$A$7:$D$206,4,FALSE),""))</x:f>
      </x:c>
      <x:c r="E200" s="41"/>
      <x:c r="F200" s="41"/>
      <x:c r="G200" s="52"/>
      <x:c r="H200" s="52"/>
      <x:c r="I200" s="52"/>
      <x:c r="J200" s="52"/>
      <x:c r="K200" s="52"/>
      <x:c r="L200" s="41"/>
      <x:c r="M200" s="52"/>
      <x:c r="N200" s="41"/>
      <x:c r="O200" s="41"/>
      <x:c r="P200" s="41"/>
      <x:c r="Q200" s="41"/>
      <x:c r="R200" s="41"/>
      <x:c r="S200" s="41"/>
    </x:row>
    <x:row r="201" ht="31" customHeight="1">
      <x:c r="A201" s="41"/>
      <x:c r="B201" s="48"/>
      <x:c r="C201" s="41"/>
      <x:c r="D201" s="42" t="str">
        <x:f>IF(C201="","",IFERROR(VLOOKUP(C201,'الطلبات'!$A$7:$D$206,4,FALSE),""))</x:f>
      </x:c>
      <x:c r="E201" s="41"/>
      <x:c r="F201" s="41"/>
      <x:c r="G201" s="52"/>
      <x:c r="H201" s="52"/>
      <x:c r="I201" s="52"/>
      <x:c r="J201" s="52"/>
      <x:c r="K201" s="52"/>
      <x:c r="L201" s="41"/>
      <x:c r="M201" s="52"/>
      <x:c r="N201" s="41"/>
      <x:c r="O201" s="41"/>
      <x:c r="P201" s="41"/>
      <x:c r="Q201" s="41"/>
      <x:c r="R201" s="41"/>
      <x:c r="S201" s="41"/>
    </x:row>
    <x:row r="202" ht="31" customHeight="1">
      <x:c r="A202" s="41"/>
      <x:c r="B202" s="48"/>
      <x:c r="C202" s="41"/>
      <x:c r="D202" s="42" t="str">
        <x:f>IF(C202="","",IFERROR(VLOOKUP(C202,'الطلبات'!$A$7:$D$206,4,FALSE),""))</x:f>
      </x:c>
      <x:c r="E202" s="41"/>
      <x:c r="F202" s="41"/>
      <x:c r="G202" s="52"/>
      <x:c r="H202" s="52"/>
      <x:c r="I202" s="52"/>
      <x:c r="J202" s="52"/>
      <x:c r="K202" s="52"/>
      <x:c r="L202" s="41"/>
      <x:c r="M202" s="52"/>
      <x:c r="N202" s="41"/>
      <x:c r="O202" s="41"/>
      <x:c r="P202" s="41"/>
      <x:c r="Q202" s="41"/>
      <x:c r="R202" s="41"/>
      <x:c r="S202" s="41"/>
    </x:row>
    <x:row r="203" ht="31" customHeight="1">
      <x:c r="A203" s="41"/>
      <x:c r="B203" s="48"/>
      <x:c r="C203" s="41"/>
      <x:c r="D203" s="42" t="str">
        <x:f>IF(C203="","",IFERROR(VLOOKUP(C203,'الطلبات'!$A$7:$D$206,4,FALSE),""))</x:f>
      </x:c>
      <x:c r="E203" s="41"/>
      <x:c r="F203" s="41"/>
      <x:c r="G203" s="52"/>
      <x:c r="H203" s="52"/>
      <x:c r="I203" s="52"/>
      <x:c r="J203" s="52"/>
      <x:c r="K203" s="52"/>
      <x:c r="L203" s="41"/>
      <x:c r="M203" s="52"/>
      <x:c r="N203" s="41"/>
      <x:c r="O203" s="41"/>
      <x:c r="P203" s="41"/>
      <x:c r="Q203" s="41"/>
      <x:c r="R203" s="41"/>
      <x:c r="S203" s="41"/>
    </x:row>
    <x:row r="204" ht="31" customHeight="1">
      <x:c r="A204" s="41"/>
      <x:c r="B204" s="48"/>
      <x:c r="C204" s="41"/>
      <x:c r="D204" s="42" t="str">
        <x:f>IF(C204="","",IFERROR(VLOOKUP(C204,'الطلبات'!$A$7:$D$206,4,FALSE),""))</x:f>
      </x:c>
      <x:c r="E204" s="41"/>
      <x:c r="F204" s="41"/>
      <x:c r="G204" s="52"/>
      <x:c r="H204" s="52"/>
      <x:c r="I204" s="52"/>
      <x:c r="J204" s="52"/>
      <x:c r="K204" s="52"/>
      <x:c r="L204" s="41"/>
      <x:c r="M204" s="52"/>
      <x:c r="N204" s="41"/>
      <x:c r="O204" s="41"/>
      <x:c r="P204" s="41"/>
      <x:c r="Q204" s="41"/>
      <x:c r="R204" s="41"/>
      <x:c r="S204" s="41"/>
    </x:row>
    <x:row r="205" ht="31" customHeight="1">
      <x:c r="A205" s="41"/>
      <x:c r="B205" s="48"/>
      <x:c r="C205" s="41"/>
      <x:c r="D205" s="42" t="str">
        <x:f>IF(C205="","",IFERROR(VLOOKUP(C205,'الطلبات'!$A$7:$D$206,4,FALSE),""))</x:f>
      </x:c>
      <x:c r="E205" s="41"/>
      <x:c r="F205" s="41"/>
      <x:c r="G205" s="52"/>
      <x:c r="H205" s="52"/>
      <x:c r="I205" s="52"/>
      <x:c r="J205" s="52"/>
      <x:c r="K205" s="52"/>
      <x:c r="L205" s="41"/>
      <x:c r="M205" s="52"/>
      <x:c r="N205" s="41"/>
      <x:c r="O205" s="41"/>
      <x:c r="P205" s="41"/>
      <x:c r="Q205" s="41"/>
      <x:c r="R205" s="41"/>
      <x:c r="S205" s="41"/>
    </x:row>
    <x:row r="206" ht="31" customHeight="1">
      <x:c r="A206" s="41"/>
      <x:c r="B206" s="48"/>
      <x:c r="C206" s="41"/>
      <x:c r="D206" s="42" t="str">
        <x:f>IF(C206="","",IFERROR(VLOOKUP(C206,'الطلبات'!$A$7:$D$206,4,FALSE),""))</x:f>
      </x:c>
      <x:c r="E206" s="41"/>
      <x:c r="F206" s="41"/>
      <x:c r="G206" s="52"/>
      <x:c r="H206" s="52"/>
      <x:c r="I206" s="52"/>
      <x:c r="J206" s="52"/>
      <x:c r="K206" s="52"/>
      <x:c r="L206" s="41"/>
      <x:c r="M206" s="52"/>
      <x:c r="N206" s="41"/>
      <x:c r="O206" s="41"/>
      <x:c r="P206" s="41"/>
      <x:c r="Q206" s="41"/>
      <x:c r="R206" s="41"/>
      <x:c r="S206" s="41"/>
    </x:row>
  </x:sheetData>
  <x:mergeCells>
    <x:mergeCell ref="A1:S1"/>
    <x:mergeCell ref="A2:S2"/>
    <x:mergeCell ref="A3:S3"/>
  </x:mergeCells>
  <x:conditionalFormatting sqref="G7:K206">
    <x:cfRule type="colorScale" priority="1">
      <x:colorScale>
        <x:cfvo type="min"/>
        <x:cfvo type="num" val="3"/>
        <x:cfvo type="max"/>
        <x:color rgb="FFFCA5A5"/>
        <x:color rgb="FFFDE68A"/>
        <x:color rgb="FF86EFAC"/>
      </x:colorScale>
    </x:cfRule>
  </x:conditionalFormatting>
  <x:conditionalFormatting sqref="P7:P206">
    <x:cfRule type="containsText" dxfId="9" priority="2" operator="containsText" text="نعم"/>
  </x:conditionalFormatting>
  <x:dataValidations count="8">
    <x:dataValidation type="list" sqref="E7:E206">
      <x:formula1>"واتساب,Google Form"</x:formula1>
    </x:dataValidation>
    <x:dataValidation type="list" sqref="F7:F206">
      <x:formula1>"نعم,لا"</x:formula1>
    </x:dataValidation>
    <x:dataValidation type="list" sqref="L7:L206">
      <x:formula1>"نعم,ممكن,لا"</x:formula1>
    </x:dataValidation>
    <x:dataValidation type="list" sqref="N7:N206">
      <x:formula1>"عسل ولبن,دبس تمر ولبن,الاثنان,لا يوجد"</x:formula1>
    </x:dataValidation>
    <x:dataValidation type="list" sqref="P7:P206">
      <x:formula1>"نعم,لا"</x:formula1>
    </x:dataValidation>
    <x:dataValidation type="list" sqref="R7:R206">
      <x:formula1>"لا تحتاج,مفتوحة,جاري الحل,تم الحل"</x:formula1>
    </x:dataValidation>
    <x:dataValidation type="whole" operator="between" sqref="G7:K206">
      <x:formula1>1</x:formula1>
      <x:formula2>5</x:formula2>
    </x:dataValidation>
    <x:dataValidation type="whole" operator="between" sqref="M7:M206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6674ab7914c49a5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4" customHeight="1">
      <x:c r="A1" s="4" t="str">
        <x:v>EasyOats | القوائم والإعدادات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4" customHeight="1">
      <x:c r="A2" s="9" t="str">
        <x:v>غيّر الأسعار والحدود هنا فقط. الصق رابط Google Form في الخانة المخصصة، وكل القوائم قابلة للتعديل لاحقًا.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</x:row>
    <x:row r="4">
      <x:c r="A4" s="15" t="str">
        <x:v>الإعداد</x:v>
      </x:c>
      <x:c r="B4" s="15" t="str">
        <x:v>القيمة</x:v>
      </x:c>
      <x:c r="C4" s="28"/>
      <x:c r="D4" s="15" t="str">
        <x:v>مصدر الطلب</x:v>
      </x:c>
      <x:c r="E4" s="15" t="str">
        <x:v>نوع الطلب</x:v>
      </x:c>
      <x:c r="F4" s="15" t="str">
        <x:v>طريقة الدفع</x:v>
      </x:c>
      <x:c r="G4" s="15" t="str">
        <x:v>حالة الدفع</x:v>
      </x:c>
      <x:c r="H4" s="15" t="str">
        <x:v>حالة الطلب</x:v>
      </x:c>
      <x:c r="I4" s="15" t="str">
        <x:v>نتيجة التوصيل</x:v>
      </x:c>
      <x:c r="J4" s="15" t="str">
        <x:v>موافقة الفيدباك</x:v>
      </x:c>
      <x:c r="K4" s="15" t="str">
        <x:v>حالة الفيدباك</x:v>
      </x:c>
      <x:c r="L4" s="15" t="str">
        <x:v>مصدر الفيدباك</x:v>
      </x:c>
      <x:c r="M4" s="15" t="str">
        <x:v>نعم/لا</x:v>
      </x:c>
      <x:c r="N4" s="15" t="str">
        <x:v>الشراء مرة أخرى</x:v>
      </x:c>
      <x:c r="O4" s="15" t="str">
        <x:v>النكهة المفضلة</x:v>
      </x:c>
      <x:c r="P4" s="15" t="str">
        <x:v>حالة متابعة المشكلة</x:v>
      </x:c>
    </x:row>
    <x:row r="5">
      <x:c r="A5" s="17" t="str">
        <x:v>سعر البيع القياسي للوحدة</x:v>
      </x:c>
      <x:c r="B5" s="19" t="n">
        <x:v>75</x:v>
      </x:c>
      <x:c r="C5" s="28"/>
      <x:c r="D5" s="22" t="str">
        <x:v>واتساب</x:v>
      </x:c>
      <x:c r="E5" s="22" t="str">
        <x:v>سعر عادي</x:v>
      </x:c>
      <x:c r="F5" s="22" t="str">
        <x:v>كاش عند الاستلام</x:v>
      </x:c>
      <x:c r="G5" s="22" t="str">
        <x:v>غير مدفوع</x:v>
      </x:c>
      <x:c r="H5" s="22" t="str">
        <x:v>جديد</x:v>
      </x:c>
      <x:c r="I5" s="22" t="str">
        <x:v>ناجح</x:v>
      </x:c>
      <x:c r="J5" s="22" t="str">
        <x:v>موافق</x:v>
      </x:c>
      <x:c r="K5" s="22" t="str">
        <x:v>لم يُطلب</x:v>
      </x:c>
      <x:c r="L5" s="22" t="str">
        <x:v>واتساب</x:v>
      </x:c>
      <x:c r="M5" s="22" t="str">
        <x:v>نعم</x:v>
      </x:c>
      <x:c r="N5" s="22" t="str">
        <x:v>نعم</x:v>
      </x:c>
      <x:c r="O5" s="22" t="str">
        <x:v>عسل ولبن</x:v>
      </x:c>
      <x:c r="P5" s="22" t="str">
        <x:v>لا تحتاج</x:v>
      </x:c>
    </x:row>
    <x:row r="6">
      <x:c r="A6" s="17" t="str">
        <x:v>سعر عرض وحدتين</x:v>
      </x:c>
      <x:c r="B6" s="19" t="n">
        <x:v>120</x:v>
      </x:c>
      <x:c r="C6" s="28"/>
      <x:c r="D6" s="22" t="str">
        <x:v>الاستبيان</x:v>
      </x:c>
      <x:c r="E6" s="22" t="str">
        <x:v>عرض 2 بـ120</x:v>
      </x:c>
      <x:c r="F6" s="22" t="str">
        <x:v>إنستاباي</x:v>
      </x:c>
      <x:c r="G6" s="22" t="str">
        <x:v>مدفوع جزئيًا</x:v>
      </x:c>
      <x:c r="H6" s="22" t="str">
        <x:v>مؤكد</x:v>
      </x:c>
      <x:c r="I6" s="22" t="str">
        <x:v>لم يرد</x:v>
      </x:c>
      <x:c r="J6" s="22" t="str">
        <x:v>غير موافق</x:v>
      </x:c>
      <x:c r="K6" s="22" t="str">
        <x:v>تم إرسال الرابط</x:v>
      </x:c>
      <x:c r="L6" s="22" t="str">
        <x:v>Google Form</x:v>
      </x:c>
      <x:c r="M6" s="22" t="str">
        <x:v>لا</x:v>
      </x:c>
      <x:c r="N6" s="22" t="str">
        <x:v>ممكن</x:v>
      </x:c>
      <x:c r="O6" s="22" t="str">
        <x:v>دبس تمر ولبن</x:v>
      </x:c>
      <x:c r="P6" s="22" t="str">
        <x:v>مفتوحة</x:v>
      </x:c>
    </x:row>
    <x:row r="7">
      <x:c r="A7" s="17" t="str">
        <x:v>العملة</x:v>
      </x:c>
      <x:c r="B7" s="18" t="str">
        <x:v>EGP</x:v>
      </x:c>
      <x:c r="C7" s="28"/>
      <x:c r="D7" s="22" t="str">
        <x:v>إنستجرام</x:v>
      </x:c>
      <x:c r="E7" s="22" t="str">
        <x:v>عينة</x:v>
      </x:c>
      <x:c r="F7" s="22" t="str">
        <x:v>تحويل بنكي</x:v>
      </x:c>
      <x:c r="G7" s="22" t="str">
        <x:v>مدفوع</x:v>
      </x:c>
      <x:c r="H7" s="22" t="str">
        <x:v>جاري التجهيز</x:v>
      </x:c>
      <x:c r="I7" s="22" t="str">
        <x:v>تأجيل</x:v>
      </x:c>
      <x:c r="J7" s="22" t="str">
        <x:v>اسأله لاحقًا</x:v>
      </x:c>
      <x:c r="K7" s="22" t="str">
        <x:v>تم الاستلام</x:v>
      </x:c>
      <x:c r="L7" s="22"/>
      <x:c r="M7" s="22"/>
      <x:c r="N7" s="22" t="str">
        <x:v>لا</x:v>
      </x:c>
      <x:c r="O7" s="22" t="str">
        <x:v>الاثنان</x:v>
      </x:c>
      <x:c r="P7" s="22" t="str">
        <x:v>جاري الحل</x:v>
      </x:c>
    </x:row>
    <x:row r="8">
      <x:c r="A8" s="17" t="str">
        <x:v>رابط Google Form للفيدباك</x:v>
      </x:c>
      <x:c r="B8" s="18" t="str"/>
      <x:c r="C8" s="28"/>
      <x:c r="D8" s="22" t="str">
        <x:v>فيسبوك</x:v>
      </x:c>
      <x:c r="E8" s="22" t="str">
        <x:v>طلب شركة</x:v>
      </x:c>
      <x:c r="F8" s="22" t="str">
        <x:v>كاش</x:v>
      </x:c>
      <x:c r="G8" s="22" t="str">
        <x:v>مسترد</x:v>
      </x:c>
      <x:c r="H8" s="22" t="str">
        <x:v>جاهز</x:v>
      </x:c>
      <x:c r="I8" s="22" t="str">
        <x:v>عنوان غير صحيح</x:v>
      </x:c>
      <x:c r="J8" s="22"/>
      <x:c r="K8" s="22" t="str">
        <x:v>رفض</x:v>
      </x:c>
      <x:c r="L8" s="22"/>
      <x:c r="M8" s="22"/>
      <x:c r="N8" s="22"/>
      <x:c r="O8" s="22" t="str">
        <x:v>لا يوجد</x:v>
      </x:c>
      <x:c r="P8" s="22" t="str">
        <x:v>تم الحل</x:v>
      </x:c>
    </x:row>
    <x:row r="9">
      <x:c r="A9" s="17" t="str">
        <x:v>رابط شيت ردود الفورم</x:v>
      </x:c>
      <x:c r="B9" s="18" t="str"/>
      <x:c r="C9" s="28"/>
      <x:c r="D9" s="22" t="str">
        <x:v>ترشيح</x:v>
      </x:c>
      <x:c r="E9" s="22" t="str">
        <x:v>أخرى</x:v>
      </x:c>
      <x:c r="F9" s="22" t="str">
        <x:v>مجاني/عينة</x:v>
      </x:c>
      <x:c r="G9" s="22"/>
      <x:c r="H9" s="22" t="str">
        <x:v>خرج للتوصيل</x:v>
      </x:c>
      <x:c r="I9" s="22" t="str">
        <x:v>رفض الاستلام</x:v>
      </x:c>
      <x:c r="J9" s="22"/>
      <x:c r="K9" s="22"/>
      <x:c r="L9" s="22"/>
      <x:c r="M9" s="22"/>
      <x:c r="N9" s="22"/>
      <x:c r="O9" s="22"/>
      <x:c r="P9" s="22"/>
    </x:row>
    <x:row r="10">
      <x:c r="A10" s="17" t="str">
        <x:v>حد تنبيه المخزون الافتراضي</x:v>
      </x:c>
      <x:c r="B10" s="18" t="n">
        <x:v>50</x:v>
      </x:c>
      <x:c r="C10" s="28"/>
      <x:c r="D10" s="22" t="str">
        <x:v>شركة</x:v>
      </x:c>
      <x:c r="E10" s="22"/>
      <x:c r="F10" s="22"/>
      <x:c r="G10" s="22"/>
      <x:c r="H10" s="22" t="str">
        <x:v>تم التوصيل</x:v>
      </x:c>
      <x:c r="I10" s="22" t="str">
        <x:v>مرتجع</x:v>
      </x:c>
      <x:c r="J10" s="22"/>
      <x:c r="K10" s="22"/>
      <x:c r="L10" s="22"/>
      <x:c r="M10" s="22"/>
      <x:c r="N10" s="22"/>
      <x:c r="O10" s="22"/>
      <x:c r="P10" s="22"/>
    </x:row>
    <x:row r="11">
      <x:c r="A11" s="28"/>
      <x:c r="B11" s="28"/>
      <x:c r="C11" s="28"/>
      <x:c r="D11" s="22" t="str">
        <x:v>بازار/فعالية</x:v>
      </x:c>
      <x:c r="E11" s="22"/>
      <x:c r="F11" s="22"/>
      <x:c r="G11" s="22"/>
      <x:c r="H11" s="22" t="str">
        <x:v>ملغي</x:v>
      </x:c>
      <x:c r="I11" s="22"/>
      <x:c r="J11" s="22"/>
      <x:c r="K11" s="22"/>
      <x:c r="L11" s="22"/>
      <x:c r="M11" s="22"/>
      <x:c r="N11" s="22"/>
      <x:c r="O11" s="22"/>
      <x:c r="P11" s="22"/>
    </x:row>
    <x:row r="12">
      <x:c r="A12" s="28"/>
      <x:c r="B12" s="28"/>
      <x:c r="C12" s="28"/>
      <x:c r="D12" s="22" t="str">
        <x:v>أخرى</x:v>
      </x:c>
      <x:c r="E12" s="22"/>
      <x:c r="F12" s="22"/>
      <x:c r="G12" s="22"/>
      <x:c r="H12" s="22" t="str">
        <x:v>مرتجع</x:v>
      </x:c>
      <x:c r="I12" s="22"/>
      <x:c r="J12" s="22"/>
      <x:c r="K12" s="22"/>
      <x:c r="L12" s="22"/>
      <x:c r="M12" s="22"/>
      <x:c r="N12" s="22"/>
      <x:c r="O12" s="22"/>
      <x:c r="P12" s="22"/>
    </x:row>
    <x:row r="13">
      <x:c r="A13" s="24" t="str">
        <x:v>طريقة الاستخدام المختصرة</x:v>
      </x:c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</x:row>
    <x:row r="14" ht="27" customHeight="1">
      <x:c r="A14" s="27" t="str">
        <x:v>1) افتح تبويب الطلبات وسجّل كل طلب في أول صف فاضي. استخدم رقم ثابت مثل EO-0001 ولا تغيّره بعد ذلك.</x:v>
      </x:c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</x:row>
    <x:row r="15" ht="27" customHeight="1">
      <x:c r="A15" s="27" t="str">
        <x:v>2) حدّث حالة الطلب كلما تحرك: جديد ← مؤكد ← جاري التجهيز ← جاهز ← خرج للتوصيل ← تم التوصيل.</x:v>
      </x:c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</x:row>
    <x:row r="16" ht="27" customHeight="1">
      <x:c r="A16" s="27" t="str">
        <x:v>3) سجّل تكلفة الشحن الفعلية؛ الشيت يحسب هامش المساهمة المقدر لكل طلب تلقائيًا.</x:v>
      </x:c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</x:row>
    <x:row r="17" ht="27" customHeight="1">
      <x:c r="A17" s="27" t="str">
        <x:v>4) بعد التوصيل، سجّل المبلغ المحصل والموافقة على الفيدباك. خانة «الإجراء التالي» ستقول لك ماذا تفعل.</x:v>
      </x:c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</x:row>
    <x:row r="18" ht="27" customHeight="1">
      <x:c r="A18" s="27" t="str">
        <x:v>5) الصق رابط Google Form في B8، ورابط شيت الردود في B9. يمكن ربط الردود تلقائيًا لاحقًا.</x:v>
      </x:c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</x:row>
    <x:row r="19" ht="27" customHeight="1">
      <x:c r="A19" s="27" t="str">
        <x:v>6) سجّل ردود واتساب أو الفورم في تبويب الفيدباك باستخدام رقم الطلب نفسه؛ التقييم سيظهر في الطلب تلقائيًا.</x:v>
      </x:c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</x:row>
    <x:row r="20" ht="27" customHeight="1">
      <x:c r="A20" s="27" t="str">
        <x:v>7) راجع لوحة المتابعة يوميًا: الطلبات المتأخرة، التحصيل، الفيدباك، والمخزون المنخفض.</x:v>
      </x:c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</x:row>
    <x:row r="21" ht="27" customHeight="1">
      <x:c r="A21" s="27" t="str">
        <x:v>8) صف «مثال-احذفه» موجود للشرح فقط ولا يدخل في الأرقام؛ احذفه عندما تبدأ.</x:v>
      </x:c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</x:row>
  </x:sheetData>
  <x:mergeCells>
    <x:mergeCell ref="A1:P1"/>
    <x:mergeCell ref="A2:P2"/>
    <x:mergeCell ref="A13:P13"/>
    <x:mergeCell ref="A14:P14"/>
    <x:mergeCell ref="A15:P15"/>
    <x:mergeCell ref="A16:P16"/>
    <x:mergeCell ref="A17:P17"/>
    <x:mergeCell ref="A18:P18"/>
    <x:mergeCell ref="A19:P19"/>
    <x:mergeCell ref="A20:P20"/>
    <x:mergeCell ref="A21:P21"/>
  </x:mergeCells>
  <x:pageMargins left="0.7" right="0.7" top="0.75" bottom="0.75" header="0.3" footer="0.3"/>
</x:worksheet>
</file>